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hidePivotFieldList="1"/>
  <xr:revisionPtr revIDLastSave="0" documentId="8_{F02E13DF-0020-40DD-8260-B995B89026C1}" xr6:coauthVersionLast="47" xr6:coauthVersionMax="47" xr10:uidLastSave="{00000000-0000-0000-0000-000000000000}"/>
  <bookViews>
    <workbookView xWindow="240" yWindow="105" windowWidth="14805" windowHeight="8010" firstSheet="1" activeTab="4" xr2:uid="{00000000-000D-0000-FFFF-FFFF00000000}"/>
  </bookViews>
  <sheets>
    <sheet name="Zone-wise Performance" sheetId="4" r:id="rId1"/>
    <sheet name="City-wise Top Students" sheetId="5" r:id="rId2"/>
    <sheet name="Subject-wise Performance" sheetId="6" r:id="rId3"/>
    <sheet name="Attendance vs Performance" sheetId="9" r:id="rId4"/>
    <sheet name="Dashboard" sheetId="10" r:id="rId5"/>
    <sheet name="Sheet2" sheetId="11" r:id="rId6"/>
    <sheet name="Sheet1" sheetId="1" r:id="rId7"/>
    <sheet name="Mapping" sheetId="2" r:id="rId8"/>
  </sheets>
  <definedNames>
    <definedName name="Slicer_City">#N/A</definedName>
    <definedName name="Slicer_Test_Name">#N/A</definedName>
    <definedName name="Slicer_Zone">#N/A</definedName>
  </definedNames>
  <calcPr calcId="191028"/>
  <pivotCaches>
    <pivotCache cacheId="1086" r:id="rId9"/>
    <pivotCache cacheId="1079" r:id="rId10"/>
  </pivotCaches>
  <extLst>
    <ext xmlns:x14="http://schemas.microsoft.com/office/spreadsheetml/2009/9/main" uri="{BBE1A952-AA13-448e-AADC-164F8A28A991}">
      <x14:slicerCaches>
        <x14:slicerCache r:id="rId11"/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7" i="1" l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19" i="1"/>
  <c r="Q20" i="1"/>
  <c r="Q21" i="1"/>
  <c r="Q22" i="1"/>
  <c r="Q23" i="1"/>
  <c r="Q24" i="1"/>
  <c r="Q25" i="1"/>
  <c r="Q26" i="1"/>
  <c r="Q27" i="1"/>
  <c r="Q28" i="1"/>
  <c r="Q29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2" i="1"/>
  <c r="P151" i="1"/>
  <c r="P152" i="1"/>
  <c r="P153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50" i="1"/>
  <c r="P51" i="1"/>
  <c r="P52" i="1"/>
  <c r="P53" i="1"/>
  <c r="P54" i="1"/>
  <c r="P55" i="1"/>
  <c r="P56" i="1"/>
  <c r="P57" i="1"/>
  <c r="P58" i="1"/>
  <c r="P59" i="1"/>
  <c r="P6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" i="1"/>
  <c r="P4" i="1"/>
  <c r="P5" i="1"/>
  <c r="P6" i="1"/>
  <c r="P7" i="1"/>
  <c r="P8" i="1"/>
  <c r="P9" i="1"/>
  <c r="P10" i="1"/>
  <c r="P11" i="1"/>
  <c r="P2" i="1"/>
  <c r="J2" i="1"/>
  <c r="K2" i="1"/>
  <c r="L2" i="1"/>
  <c r="M2" i="1"/>
  <c r="N2" i="1"/>
  <c r="O2" i="1"/>
  <c r="J3" i="1"/>
  <c r="K3" i="1"/>
  <c r="L3" i="1"/>
  <c r="M3" i="1"/>
  <c r="N3" i="1"/>
  <c r="O3" i="1"/>
  <c r="J4" i="1"/>
  <c r="L4" i="1"/>
  <c r="M4" i="1"/>
  <c r="N4" i="1"/>
  <c r="O4" i="1"/>
  <c r="J5" i="1"/>
  <c r="L5" i="1"/>
  <c r="M5" i="1"/>
  <c r="N5" i="1"/>
  <c r="O5" i="1"/>
  <c r="J6" i="1"/>
  <c r="L6" i="1"/>
  <c r="M6" i="1"/>
  <c r="N6" i="1"/>
  <c r="O6" i="1"/>
  <c r="J7" i="1"/>
  <c r="L7" i="1"/>
  <c r="M7" i="1"/>
  <c r="N7" i="1"/>
  <c r="O7" i="1"/>
  <c r="J8" i="1"/>
  <c r="L8" i="1"/>
  <c r="M8" i="1"/>
  <c r="N8" i="1"/>
  <c r="O8" i="1"/>
  <c r="J9" i="1"/>
  <c r="L9" i="1"/>
  <c r="M9" i="1"/>
  <c r="N9" i="1"/>
  <c r="O9" i="1"/>
  <c r="J10" i="1"/>
  <c r="L10" i="1"/>
  <c r="M10" i="1"/>
  <c r="N10" i="1"/>
  <c r="O10" i="1"/>
  <c r="J11" i="1"/>
  <c r="L11" i="1"/>
  <c r="M11" i="1"/>
  <c r="N11" i="1"/>
  <c r="O11" i="1"/>
  <c r="J12" i="1"/>
  <c r="L12" i="1"/>
  <c r="M12" i="1"/>
  <c r="N12" i="1"/>
  <c r="O12" i="1"/>
  <c r="J13" i="1"/>
  <c r="L13" i="1"/>
  <c r="M13" i="1"/>
  <c r="N13" i="1"/>
  <c r="O13" i="1"/>
  <c r="J14" i="1"/>
  <c r="L14" i="1"/>
  <c r="M14" i="1"/>
  <c r="N14" i="1"/>
  <c r="O14" i="1"/>
  <c r="J15" i="1"/>
  <c r="L15" i="1"/>
  <c r="M15" i="1"/>
  <c r="N15" i="1"/>
  <c r="O15" i="1"/>
  <c r="J16" i="1"/>
  <c r="L16" i="1"/>
  <c r="M16" i="1"/>
  <c r="N16" i="1"/>
  <c r="O16" i="1"/>
  <c r="J17" i="1"/>
  <c r="L17" i="1"/>
  <c r="N17" i="1"/>
  <c r="O17" i="1"/>
  <c r="J18" i="1"/>
  <c r="L18" i="1"/>
  <c r="M18" i="1"/>
  <c r="N18" i="1"/>
  <c r="O18" i="1"/>
  <c r="J19" i="1"/>
  <c r="L19" i="1"/>
  <c r="M19" i="1"/>
  <c r="N19" i="1"/>
  <c r="O19" i="1"/>
  <c r="J20" i="1"/>
  <c r="L20" i="1"/>
  <c r="M20" i="1"/>
  <c r="N20" i="1"/>
  <c r="O20" i="1"/>
  <c r="J21" i="1"/>
  <c r="L21" i="1"/>
  <c r="M21" i="1"/>
  <c r="N21" i="1"/>
  <c r="O21" i="1"/>
  <c r="J22" i="1"/>
  <c r="L22" i="1"/>
  <c r="M22" i="1"/>
  <c r="N22" i="1"/>
  <c r="O22" i="1"/>
  <c r="J23" i="1"/>
  <c r="L23" i="1"/>
  <c r="M23" i="1"/>
  <c r="N23" i="1"/>
  <c r="O23" i="1"/>
  <c r="J24" i="1"/>
  <c r="L24" i="1"/>
  <c r="M24" i="1"/>
  <c r="N24" i="1"/>
  <c r="O24" i="1"/>
  <c r="J25" i="1"/>
  <c r="L25" i="1"/>
  <c r="M25" i="1"/>
  <c r="N25" i="1"/>
  <c r="O25" i="1"/>
  <c r="J26" i="1"/>
  <c r="L26" i="1"/>
  <c r="M26" i="1"/>
  <c r="N26" i="1"/>
  <c r="O26" i="1"/>
  <c r="J27" i="1"/>
  <c r="L27" i="1"/>
  <c r="M27" i="1"/>
  <c r="N27" i="1"/>
  <c r="O27" i="1"/>
  <c r="J28" i="1"/>
  <c r="L28" i="1"/>
  <c r="M28" i="1"/>
  <c r="N28" i="1"/>
  <c r="O28" i="1"/>
  <c r="J29" i="1"/>
  <c r="L29" i="1"/>
  <c r="M29" i="1"/>
  <c r="N29" i="1"/>
  <c r="O29" i="1"/>
  <c r="J30" i="1"/>
  <c r="L30" i="1"/>
  <c r="M30" i="1"/>
  <c r="N30" i="1"/>
  <c r="O30" i="1"/>
  <c r="J31" i="1"/>
  <c r="L31" i="1"/>
  <c r="M31" i="1"/>
  <c r="N31" i="1"/>
  <c r="O31" i="1"/>
  <c r="J32" i="1"/>
  <c r="L32" i="1"/>
  <c r="M32" i="1"/>
  <c r="N32" i="1"/>
  <c r="O32" i="1"/>
  <c r="J33" i="1"/>
  <c r="L33" i="1"/>
  <c r="M33" i="1"/>
  <c r="N33" i="1"/>
  <c r="O33" i="1"/>
  <c r="J34" i="1"/>
  <c r="L34" i="1"/>
  <c r="M34" i="1"/>
  <c r="N34" i="1"/>
  <c r="O34" i="1"/>
  <c r="J35" i="1"/>
  <c r="L35" i="1"/>
  <c r="M35" i="1"/>
  <c r="N35" i="1"/>
  <c r="O35" i="1"/>
  <c r="J36" i="1"/>
  <c r="L36" i="1"/>
  <c r="M36" i="1"/>
  <c r="N36" i="1"/>
  <c r="O36" i="1"/>
  <c r="J37" i="1"/>
  <c r="L37" i="1"/>
  <c r="M37" i="1"/>
  <c r="N37" i="1"/>
  <c r="O37" i="1"/>
  <c r="J38" i="1"/>
  <c r="L38" i="1"/>
  <c r="M38" i="1"/>
  <c r="N38" i="1"/>
  <c r="O38" i="1"/>
  <c r="J39" i="1"/>
  <c r="L39" i="1"/>
  <c r="M39" i="1"/>
  <c r="N39" i="1"/>
  <c r="O39" i="1"/>
  <c r="L40" i="1"/>
  <c r="M40" i="1"/>
  <c r="N40" i="1"/>
  <c r="O40" i="1"/>
  <c r="J41" i="1"/>
  <c r="L41" i="1"/>
  <c r="M41" i="1"/>
  <c r="N41" i="1"/>
  <c r="O41" i="1"/>
  <c r="J42" i="1"/>
  <c r="L42" i="1"/>
  <c r="M42" i="1"/>
  <c r="N42" i="1"/>
  <c r="O42" i="1"/>
  <c r="J43" i="1"/>
  <c r="L43" i="1"/>
  <c r="M43" i="1"/>
  <c r="N43" i="1"/>
  <c r="O43" i="1"/>
  <c r="J44" i="1"/>
  <c r="L44" i="1"/>
  <c r="M44" i="1"/>
  <c r="N44" i="1"/>
  <c r="O44" i="1"/>
  <c r="L45" i="1"/>
  <c r="M45" i="1"/>
  <c r="N45" i="1"/>
  <c r="O45" i="1"/>
  <c r="J46" i="1"/>
  <c r="L46" i="1"/>
  <c r="M46" i="1"/>
  <c r="N46" i="1"/>
  <c r="O46" i="1"/>
  <c r="J47" i="1"/>
  <c r="L47" i="1"/>
  <c r="M47" i="1"/>
  <c r="N47" i="1"/>
  <c r="O47" i="1"/>
  <c r="J48" i="1"/>
  <c r="L48" i="1"/>
  <c r="M48" i="1"/>
  <c r="N48" i="1"/>
  <c r="O48" i="1"/>
  <c r="J49" i="1"/>
  <c r="L49" i="1"/>
  <c r="M49" i="1"/>
  <c r="N49" i="1"/>
  <c r="O49" i="1"/>
  <c r="J50" i="1"/>
  <c r="L50" i="1"/>
  <c r="M50" i="1"/>
  <c r="N50" i="1"/>
  <c r="O50" i="1"/>
  <c r="L51" i="1"/>
  <c r="M51" i="1"/>
  <c r="N51" i="1"/>
  <c r="O51" i="1"/>
  <c r="J52" i="1"/>
  <c r="L52" i="1"/>
  <c r="M52" i="1"/>
  <c r="N52" i="1"/>
  <c r="O52" i="1"/>
  <c r="J53" i="1"/>
  <c r="L53" i="1"/>
  <c r="M53" i="1"/>
  <c r="N53" i="1"/>
  <c r="O53" i="1"/>
  <c r="J54" i="1"/>
  <c r="L54" i="1"/>
  <c r="M54" i="1"/>
  <c r="N54" i="1"/>
  <c r="O54" i="1"/>
  <c r="J55" i="1"/>
  <c r="L55" i="1"/>
  <c r="M55" i="1"/>
  <c r="N55" i="1"/>
  <c r="O55" i="1"/>
  <c r="J56" i="1"/>
  <c r="L56" i="1"/>
  <c r="M56" i="1"/>
  <c r="N56" i="1"/>
  <c r="O56" i="1"/>
  <c r="J57" i="1"/>
  <c r="L57" i="1"/>
  <c r="M57" i="1"/>
  <c r="N57" i="1"/>
  <c r="O57" i="1"/>
  <c r="J58" i="1"/>
  <c r="L58" i="1"/>
  <c r="M58" i="1"/>
  <c r="N58" i="1"/>
  <c r="O58" i="1"/>
  <c r="J59" i="1"/>
  <c r="L59" i="1"/>
  <c r="M59" i="1"/>
  <c r="N59" i="1"/>
  <c r="O59" i="1"/>
  <c r="J60" i="1"/>
  <c r="L60" i="1"/>
  <c r="M60" i="1"/>
  <c r="N60" i="1"/>
  <c r="O60" i="1"/>
  <c r="J61" i="1"/>
  <c r="L61" i="1"/>
  <c r="M61" i="1"/>
  <c r="N61" i="1"/>
  <c r="O61" i="1"/>
  <c r="J62" i="1"/>
  <c r="L62" i="1"/>
  <c r="M62" i="1"/>
  <c r="N62" i="1"/>
  <c r="O62" i="1"/>
  <c r="J63" i="1"/>
  <c r="L63" i="1"/>
  <c r="M63" i="1"/>
  <c r="N63" i="1"/>
  <c r="O63" i="1"/>
  <c r="J64" i="1"/>
  <c r="L64" i="1"/>
  <c r="M64" i="1"/>
  <c r="N64" i="1"/>
  <c r="O64" i="1"/>
  <c r="J65" i="1"/>
  <c r="L65" i="1"/>
  <c r="M65" i="1"/>
  <c r="N65" i="1"/>
  <c r="O65" i="1"/>
  <c r="J66" i="1"/>
  <c r="L66" i="1"/>
  <c r="M66" i="1"/>
  <c r="N66" i="1"/>
  <c r="O66" i="1"/>
  <c r="J67" i="1"/>
  <c r="L67" i="1"/>
  <c r="M67" i="1"/>
  <c r="N67" i="1"/>
  <c r="O67" i="1"/>
  <c r="J68" i="1"/>
  <c r="L68" i="1"/>
  <c r="M68" i="1"/>
  <c r="N68" i="1"/>
  <c r="O68" i="1"/>
  <c r="J69" i="1"/>
  <c r="L69" i="1"/>
  <c r="M69" i="1"/>
  <c r="N69" i="1"/>
  <c r="O69" i="1"/>
  <c r="J70" i="1"/>
  <c r="L70" i="1"/>
  <c r="M70" i="1"/>
  <c r="N70" i="1"/>
  <c r="O70" i="1"/>
  <c r="J71" i="1"/>
  <c r="L71" i="1"/>
  <c r="M71" i="1"/>
  <c r="N71" i="1"/>
  <c r="O71" i="1"/>
  <c r="J72" i="1"/>
  <c r="L72" i="1"/>
  <c r="M72" i="1"/>
  <c r="N72" i="1"/>
  <c r="O72" i="1"/>
  <c r="J73" i="1"/>
  <c r="L73" i="1"/>
  <c r="M73" i="1"/>
  <c r="N73" i="1"/>
  <c r="O73" i="1"/>
  <c r="J74" i="1"/>
  <c r="L74" i="1"/>
  <c r="M74" i="1"/>
  <c r="N74" i="1"/>
  <c r="O74" i="1"/>
  <c r="J75" i="1"/>
  <c r="L75" i="1"/>
  <c r="M75" i="1"/>
  <c r="N75" i="1"/>
  <c r="O75" i="1"/>
  <c r="J76" i="1"/>
  <c r="L76" i="1"/>
  <c r="M76" i="1"/>
  <c r="N76" i="1"/>
  <c r="O76" i="1"/>
  <c r="J77" i="1"/>
  <c r="L77" i="1"/>
  <c r="M77" i="1"/>
  <c r="N77" i="1"/>
  <c r="O77" i="1"/>
  <c r="J78" i="1"/>
  <c r="L78" i="1"/>
  <c r="M78" i="1"/>
  <c r="N78" i="1"/>
  <c r="O78" i="1"/>
  <c r="J79" i="1"/>
  <c r="L79" i="1"/>
  <c r="M79" i="1"/>
  <c r="N79" i="1"/>
  <c r="O79" i="1"/>
  <c r="L80" i="1"/>
  <c r="M80" i="1"/>
  <c r="N80" i="1"/>
  <c r="O80" i="1"/>
  <c r="J81" i="1"/>
  <c r="L81" i="1"/>
  <c r="M81" i="1"/>
  <c r="N81" i="1"/>
  <c r="O81" i="1"/>
  <c r="J82" i="1"/>
  <c r="L82" i="1"/>
  <c r="M82" i="1"/>
  <c r="N82" i="1"/>
  <c r="O82" i="1"/>
  <c r="J83" i="1"/>
  <c r="L83" i="1"/>
  <c r="M83" i="1"/>
  <c r="N83" i="1"/>
  <c r="O83" i="1"/>
  <c r="J84" i="1"/>
  <c r="L84" i="1"/>
  <c r="M84" i="1"/>
  <c r="N84" i="1"/>
  <c r="O84" i="1"/>
  <c r="J85" i="1"/>
  <c r="L85" i="1"/>
  <c r="M85" i="1"/>
  <c r="N85" i="1"/>
  <c r="O85" i="1"/>
  <c r="J86" i="1"/>
  <c r="L86" i="1"/>
  <c r="M86" i="1"/>
  <c r="N86" i="1"/>
  <c r="O86" i="1"/>
  <c r="J87" i="1"/>
  <c r="L87" i="1"/>
  <c r="M87" i="1"/>
  <c r="N87" i="1"/>
  <c r="O87" i="1"/>
  <c r="J88" i="1"/>
  <c r="L88" i="1"/>
  <c r="M88" i="1"/>
  <c r="N88" i="1"/>
  <c r="O88" i="1"/>
  <c r="L89" i="1"/>
  <c r="M89" i="1"/>
  <c r="N89" i="1"/>
  <c r="O89" i="1"/>
  <c r="J90" i="1"/>
  <c r="L90" i="1"/>
  <c r="M90" i="1"/>
  <c r="N90" i="1"/>
  <c r="O90" i="1"/>
  <c r="J91" i="1"/>
  <c r="L91" i="1"/>
  <c r="M91" i="1"/>
  <c r="N91" i="1"/>
  <c r="O91" i="1"/>
  <c r="J92" i="1"/>
  <c r="L92" i="1"/>
  <c r="M92" i="1"/>
  <c r="N92" i="1"/>
  <c r="O92" i="1"/>
  <c r="L93" i="1"/>
  <c r="M93" i="1"/>
  <c r="N93" i="1"/>
  <c r="O93" i="1"/>
  <c r="J94" i="1"/>
  <c r="L94" i="1"/>
  <c r="M94" i="1"/>
  <c r="N94" i="1"/>
  <c r="O94" i="1"/>
  <c r="J95" i="1"/>
  <c r="L95" i="1"/>
  <c r="M95" i="1"/>
  <c r="N95" i="1"/>
  <c r="O95" i="1"/>
  <c r="J96" i="1"/>
  <c r="L96" i="1"/>
  <c r="M96" i="1"/>
  <c r="N96" i="1"/>
  <c r="O96" i="1"/>
  <c r="J97" i="1"/>
  <c r="L97" i="1"/>
  <c r="M97" i="1"/>
  <c r="N97" i="1"/>
  <c r="O97" i="1"/>
  <c r="J98" i="1"/>
  <c r="L98" i="1"/>
  <c r="M98" i="1"/>
  <c r="N98" i="1"/>
  <c r="O98" i="1"/>
  <c r="L99" i="1"/>
  <c r="M99" i="1"/>
  <c r="N99" i="1"/>
  <c r="O99" i="1"/>
  <c r="J100" i="1"/>
  <c r="L100" i="1"/>
  <c r="M100" i="1"/>
  <c r="N100" i="1"/>
  <c r="O100" i="1"/>
  <c r="J101" i="1"/>
  <c r="L101" i="1"/>
  <c r="M101" i="1"/>
  <c r="N101" i="1"/>
  <c r="O101" i="1"/>
  <c r="J102" i="1"/>
  <c r="L102" i="1"/>
  <c r="M102" i="1"/>
  <c r="N102" i="1"/>
  <c r="O102" i="1"/>
  <c r="J103" i="1"/>
  <c r="L103" i="1"/>
  <c r="M103" i="1"/>
  <c r="N103" i="1"/>
  <c r="O103" i="1"/>
  <c r="J104" i="1"/>
  <c r="L104" i="1"/>
  <c r="M104" i="1"/>
  <c r="N104" i="1"/>
  <c r="O104" i="1"/>
  <c r="L105" i="1"/>
  <c r="M105" i="1"/>
  <c r="N105" i="1"/>
  <c r="O105" i="1"/>
  <c r="J106" i="1"/>
  <c r="L106" i="1"/>
  <c r="M106" i="1"/>
  <c r="N106" i="1"/>
  <c r="O106" i="1"/>
  <c r="J107" i="1"/>
  <c r="L107" i="1"/>
  <c r="M107" i="1"/>
  <c r="N107" i="1"/>
  <c r="O107" i="1"/>
  <c r="J108" i="1"/>
  <c r="L108" i="1"/>
  <c r="M108" i="1"/>
  <c r="N108" i="1"/>
  <c r="O108" i="1"/>
  <c r="J109" i="1"/>
  <c r="L109" i="1"/>
  <c r="M109" i="1"/>
  <c r="N109" i="1"/>
  <c r="O109" i="1"/>
  <c r="J110" i="1"/>
  <c r="L110" i="1"/>
  <c r="M110" i="1"/>
  <c r="N110" i="1"/>
  <c r="O110" i="1"/>
  <c r="J111" i="1"/>
  <c r="L111" i="1"/>
  <c r="M111" i="1"/>
  <c r="N111" i="1"/>
  <c r="O111" i="1"/>
  <c r="J112" i="1"/>
  <c r="L112" i="1"/>
  <c r="M112" i="1"/>
  <c r="N112" i="1"/>
  <c r="O112" i="1"/>
  <c r="J113" i="1"/>
  <c r="L113" i="1"/>
  <c r="M113" i="1"/>
  <c r="N113" i="1"/>
  <c r="O113" i="1"/>
  <c r="J114" i="1"/>
  <c r="L114" i="1"/>
  <c r="M114" i="1"/>
  <c r="N114" i="1"/>
  <c r="O114" i="1"/>
  <c r="J115" i="1"/>
  <c r="L115" i="1"/>
  <c r="M115" i="1"/>
  <c r="N115" i="1"/>
  <c r="O115" i="1"/>
  <c r="J116" i="1"/>
  <c r="L116" i="1"/>
  <c r="M116" i="1"/>
  <c r="N116" i="1"/>
  <c r="O116" i="1"/>
  <c r="J117" i="1"/>
  <c r="L117" i="1"/>
  <c r="M117" i="1"/>
  <c r="N117" i="1"/>
  <c r="O117" i="1"/>
  <c r="J118" i="1"/>
  <c r="L118" i="1"/>
  <c r="M118" i="1"/>
  <c r="N118" i="1"/>
  <c r="O118" i="1"/>
  <c r="J119" i="1"/>
  <c r="L119" i="1"/>
  <c r="M119" i="1"/>
  <c r="N119" i="1"/>
  <c r="O119" i="1"/>
  <c r="J120" i="1"/>
  <c r="L120" i="1"/>
  <c r="M120" i="1"/>
  <c r="N120" i="1"/>
  <c r="O120" i="1"/>
  <c r="J121" i="1"/>
  <c r="L121" i="1"/>
  <c r="M121" i="1"/>
  <c r="N121" i="1"/>
  <c r="O121" i="1"/>
  <c r="J122" i="1"/>
  <c r="L122" i="1"/>
  <c r="M122" i="1"/>
  <c r="N122" i="1"/>
  <c r="O122" i="1"/>
  <c r="J123" i="1"/>
  <c r="L123" i="1"/>
  <c r="M123" i="1"/>
  <c r="N123" i="1"/>
  <c r="O123" i="1"/>
  <c r="J124" i="1"/>
  <c r="L124" i="1"/>
  <c r="M124" i="1"/>
  <c r="N124" i="1"/>
  <c r="O124" i="1"/>
  <c r="J125" i="1"/>
  <c r="L125" i="1"/>
  <c r="M125" i="1"/>
  <c r="N125" i="1"/>
  <c r="O125" i="1"/>
  <c r="J126" i="1"/>
  <c r="L126" i="1"/>
  <c r="M126" i="1"/>
  <c r="N126" i="1"/>
  <c r="O126" i="1"/>
  <c r="J127" i="1"/>
  <c r="L127" i="1"/>
  <c r="M127" i="1"/>
  <c r="N127" i="1"/>
  <c r="O127" i="1"/>
  <c r="J128" i="1"/>
  <c r="L128" i="1"/>
  <c r="M128" i="1"/>
  <c r="N128" i="1"/>
  <c r="O128" i="1"/>
  <c r="J129" i="1"/>
  <c r="L129" i="1"/>
  <c r="M129" i="1"/>
  <c r="N129" i="1"/>
  <c r="O129" i="1"/>
  <c r="J130" i="1"/>
  <c r="L130" i="1"/>
  <c r="M130" i="1"/>
  <c r="N130" i="1"/>
  <c r="O130" i="1"/>
  <c r="J131" i="1"/>
  <c r="L131" i="1"/>
  <c r="M131" i="1"/>
  <c r="N131" i="1"/>
  <c r="O131" i="1"/>
  <c r="J132" i="1"/>
  <c r="L132" i="1"/>
  <c r="M132" i="1"/>
  <c r="N132" i="1"/>
  <c r="O132" i="1"/>
  <c r="J133" i="1"/>
  <c r="L133" i="1"/>
  <c r="M133" i="1"/>
  <c r="N133" i="1"/>
  <c r="O133" i="1"/>
  <c r="J134" i="1"/>
  <c r="L134" i="1"/>
  <c r="M134" i="1"/>
  <c r="N134" i="1"/>
  <c r="O134" i="1"/>
  <c r="J135" i="1"/>
  <c r="L135" i="1"/>
  <c r="M135" i="1"/>
  <c r="N135" i="1"/>
  <c r="O135" i="1"/>
  <c r="J136" i="1"/>
  <c r="L136" i="1"/>
  <c r="M136" i="1"/>
  <c r="N136" i="1"/>
  <c r="O136" i="1"/>
  <c r="J137" i="1"/>
  <c r="L137" i="1"/>
  <c r="M137" i="1"/>
  <c r="N137" i="1"/>
  <c r="O137" i="1"/>
  <c r="J138" i="1"/>
  <c r="L138" i="1"/>
  <c r="M138" i="1"/>
  <c r="N138" i="1"/>
  <c r="O138" i="1"/>
  <c r="J139" i="1"/>
  <c r="L139" i="1"/>
  <c r="M139" i="1"/>
  <c r="N139" i="1"/>
  <c r="O139" i="1"/>
  <c r="L140" i="1"/>
  <c r="M140" i="1"/>
  <c r="N140" i="1"/>
  <c r="O140" i="1"/>
  <c r="J141" i="1"/>
  <c r="L141" i="1"/>
  <c r="M141" i="1"/>
  <c r="N141" i="1"/>
  <c r="O141" i="1"/>
  <c r="J142" i="1"/>
  <c r="L142" i="1"/>
  <c r="M142" i="1"/>
  <c r="N142" i="1"/>
  <c r="O142" i="1"/>
  <c r="J143" i="1"/>
  <c r="L143" i="1"/>
  <c r="M143" i="1"/>
  <c r="N143" i="1"/>
  <c r="O143" i="1"/>
  <c r="J144" i="1"/>
  <c r="L144" i="1"/>
  <c r="M144" i="1"/>
  <c r="N144" i="1"/>
  <c r="O144" i="1"/>
  <c r="J145" i="1"/>
  <c r="L145" i="1"/>
  <c r="M145" i="1"/>
  <c r="N145" i="1"/>
  <c r="O145" i="1"/>
  <c r="J146" i="1"/>
  <c r="L146" i="1"/>
  <c r="M146" i="1"/>
  <c r="N146" i="1"/>
  <c r="O146" i="1"/>
  <c r="J147" i="1"/>
  <c r="L147" i="1"/>
  <c r="M147" i="1"/>
  <c r="N147" i="1"/>
  <c r="O147" i="1"/>
  <c r="L148" i="1"/>
  <c r="M148" i="1"/>
  <c r="N148" i="1"/>
  <c r="O148" i="1"/>
  <c r="L149" i="1"/>
  <c r="M149" i="1"/>
  <c r="N149" i="1"/>
  <c r="O149" i="1"/>
  <c r="J150" i="1"/>
  <c r="L150" i="1"/>
  <c r="M150" i="1"/>
  <c r="N150" i="1"/>
  <c r="O150" i="1"/>
  <c r="J151" i="1"/>
  <c r="L151" i="1"/>
  <c r="M151" i="1"/>
  <c r="N151" i="1"/>
  <c r="O151" i="1"/>
  <c r="J152" i="1"/>
  <c r="L152" i="1"/>
  <c r="M152" i="1"/>
  <c r="N152" i="1"/>
  <c r="O152" i="1"/>
  <c r="J153" i="1"/>
  <c r="L153" i="1"/>
  <c r="M153" i="1"/>
  <c r="N153" i="1"/>
  <c r="O153" i="1"/>
</calcChain>
</file>

<file path=xl/sharedStrings.xml><?xml version="1.0" encoding="utf-8"?>
<sst xmlns="http://schemas.openxmlformats.org/spreadsheetml/2006/main" count="711" uniqueCount="127">
  <si>
    <t>Zone</t>
  </si>
  <si>
    <t>Average of Total Score</t>
  </si>
  <si>
    <t>East</t>
  </si>
  <si>
    <t>North</t>
  </si>
  <si>
    <t>South</t>
  </si>
  <si>
    <t>West</t>
  </si>
  <si>
    <t>Grand Total</t>
  </si>
  <si>
    <t>City</t>
  </si>
  <si>
    <t>Max of Total Score</t>
  </si>
  <si>
    <t>Bangalore</t>
  </si>
  <si>
    <t>Chennai</t>
  </si>
  <si>
    <t>HYDERABAD</t>
  </si>
  <si>
    <t>PUNE</t>
  </si>
  <si>
    <t>Average of Maths</t>
  </si>
  <si>
    <t>Average of Physics</t>
  </si>
  <si>
    <t>Average of Chemistry</t>
  </si>
  <si>
    <t>Attendance_Range</t>
  </si>
  <si>
    <t>Average of Average Score</t>
  </si>
  <si>
    <t>Test_Name</t>
  </si>
  <si>
    <t>Test1</t>
  </si>
  <si>
    <t>Test2</t>
  </si>
  <si>
    <t>Test3</t>
  </si>
  <si>
    <t>Tset1</t>
  </si>
  <si>
    <t>Student_ID</t>
  </si>
  <si>
    <t>Name</t>
  </si>
  <si>
    <t>Maths</t>
  </si>
  <si>
    <t>Physics</t>
  </si>
  <si>
    <t>Chemistry</t>
  </si>
  <si>
    <t>Attendance</t>
  </si>
  <si>
    <t>Standard City</t>
  </si>
  <si>
    <t>Standard Attendance</t>
  </si>
  <si>
    <t>Correct_Zone</t>
  </si>
  <si>
    <t>Total Score</t>
  </si>
  <si>
    <t>Average Score</t>
  </si>
  <si>
    <t>Performance Category</t>
  </si>
  <si>
    <t>Attendance_Percent</t>
  </si>
  <si>
    <t>Rahul</t>
  </si>
  <si>
    <t>Dinesh</t>
  </si>
  <si>
    <t>Deepika</t>
  </si>
  <si>
    <t>seventy nine</t>
  </si>
  <si>
    <t>Soumya</t>
  </si>
  <si>
    <t>Ram</t>
  </si>
  <si>
    <t>BANGALORE</t>
  </si>
  <si>
    <t>Sam</t>
  </si>
  <si>
    <t>Jam</t>
  </si>
  <si>
    <t>eighty five</t>
  </si>
  <si>
    <t>Sai</t>
  </si>
  <si>
    <t>hyderabad</t>
  </si>
  <si>
    <t>Diya</t>
  </si>
  <si>
    <t>Ramya</t>
  </si>
  <si>
    <t>Hari</t>
  </si>
  <si>
    <t>ninety two</t>
  </si>
  <si>
    <t>Priya</t>
  </si>
  <si>
    <t>Harthik</t>
  </si>
  <si>
    <t>Deepa</t>
  </si>
  <si>
    <t>Deepthi</t>
  </si>
  <si>
    <t>Fathima</t>
  </si>
  <si>
    <t>Sri</t>
  </si>
  <si>
    <t>Satya</t>
  </si>
  <si>
    <t>Hema</t>
  </si>
  <si>
    <t>Hrushi</t>
  </si>
  <si>
    <t>Henu</t>
  </si>
  <si>
    <t>Avi</t>
  </si>
  <si>
    <t>Pavi</t>
  </si>
  <si>
    <t>Sheeba</t>
  </si>
  <si>
    <t>Nis</t>
  </si>
  <si>
    <t>Blessy</t>
  </si>
  <si>
    <t>Siri</t>
  </si>
  <si>
    <t>Chintu</t>
  </si>
  <si>
    <t>Ramesh</t>
  </si>
  <si>
    <t>Suresh</t>
  </si>
  <si>
    <t>Prem</t>
  </si>
  <si>
    <t>Guna</t>
  </si>
  <si>
    <t>Anudeep</t>
  </si>
  <si>
    <t>Vishal</t>
  </si>
  <si>
    <t>Banthi</t>
  </si>
  <si>
    <t>Nani</t>
  </si>
  <si>
    <t>Pinky</t>
  </si>
  <si>
    <t>Chanti</t>
  </si>
  <si>
    <t>Prasad</t>
  </si>
  <si>
    <t>Shyam</t>
  </si>
  <si>
    <t>Rohith</t>
  </si>
  <si>
    <t>Vamsi</t>
  </si>
  <si>
    <t>Kalyan</t>
  </si>
  <si>
    <t>Tilak</t>
  </si>
  <si>
    <t>Srihitha</t>
  </si>
  <si>
    <t>Lakshmi</t>
  </si>
  <si>
    <t>Suvetha</t>
  </si>
  <si>
    <t>Srija</t>
  </si>
  <si>
    <t>Pujitha</t>
  </si>
  <si>
    <t>Rahju</t>
  </si>
  <si>
    <t>Amulya</t>
  </si>
  <si>
    <t>Trisha</t>
  </si>
  <si>
    <t>Hyderabad</t>
  </si>
  <si>
    <t>Sheetal</t>
  </si>
  <si>
    <t>Deeksha</t>
  </si>
  <si>
    <t>Harini</t>
  </si>
  <si>
    <t>Meenakshi</t>
  </si>
  <si>
    <t>om</t>
  </si>
  <si>
    <t>Janaki</t>
  </si>
  <si>
    <t>Pune</t>
  </si>
  <si>
    <t>Seetha</t>
  </si>
  <si>
    <t>Champ</t>
  </si>
  <si>
    <t>Nikhil</t>
  </si>
  <si>
    <t>CHENNAI</t>
  </si>
  <si>
    <t>Anushka</t>
  </si>
  <si>
    <t>Gopi</t>
  </si>
  <si>
    <t>Arjun</t>
  </si>
  <si>
    <t>Keshava</t>
  </si>
  <si>
    <t>Kishore</t>
  </si>
  <si>
    <t>Padma</t>
  </si>
  <si>
    <t xml:space="preserve">ninety </t>
  </si>
  <si>
    <t>Jiobiden</t>
  </si>
  <si>
    <t xml:space="preserve">Anu </t>
  </si>
  <si>
    <t>Babu</t>
  </si>
  <si>
    <t>Chimtu</t>
  </si>
  <si>
    <t>Trump</t>
  </si>
  <si>
    <t>Eighty Four</t>
  </si>
  <si>
    <t>Nithitha</t>
  </si>
  <si>
    <t>Rushagna</t>
  </si>
  <si>
    <t>Mani</t>
  </si>
  <si>
    <t>Akhil</t>
  </si>
  <si>
    <t>Seventy Five</t>
  </si>
  <si>
    <t>Kim</t>
  </si>
  <si>
    <t>Gani</t>
  </si>
  <si>
    <t>DELHI</t>
  </si>
  <si>
    <t>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</si>
</sst>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Font="1" applyAlignment="1">
      <alignment horizontal="center"/>
    </xf>
    <xf numFmtId="0" fontId="0" fillId="0" borderId="0" xfId="0" pivotButton="1"/>
    <xf numFmtId="0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[Master_Data Sheet.xlsx]Zone-wise Performance!PivotTable3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'Zone-wise Performance'!$B$3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'Zone-wise Performance'!$A$4:$A$8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'Zone-wise Performance'!$B$4:$B$8</c:f>
              <c:numCache>
                <c:formatCode>General</c:formatCode>
                <c:ptCount val="4"/>
                <c:pt idx="0">
                  <c:v>239.66666666666666</c:v>
                </c:pt>
                <c:pt idx="1">
                  <c:v>208.77777777777777</c:v>
                </c:pt>
                <c:pt idx="2">
                  <c:v>222.20833333333334</c:v>
                </c:pt>
                <c:pt idx="3">
                  <c:v>207.0625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93-40A5-8374-D81AF7D51C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8210440"/>
        <c:axId val="1241925128"/>
      </c:barChart>
      <c:catAx>
        <c:axId val="1608210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925128"/>
        <c:crosses val="autoZero"/>
        <c:auto val="1"/>
        <c:lblAlgn val="ctr"/>
        <c:lblOffset val="100"/>
        <c:noMultiLvlLbl val="0"/>
      </c:catAx>
      <c:valAx>
        <c:axId val="1241925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210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[Master_Data Sheet.xlsx]Subject-wise Performance!PivotTable5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'Subject-wise Performance'!$A$3</c:f>
              <c:strCache>
                <c:ptCount val="1"/>
                <c:pt idx="0">
                  <c:v>Average of Maths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F6C-42DE-8FF7-C2A02DC331E2}"/>
              </c:ext>
            </c:extLst>
          </c:dPt>
          <c:cat>
            <c:strRef>
              <c:f>'Subject-wise Performance'!$A$4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'Subject-wise Performance'!$A$4</c:f>
              <c:numCache>
                <c:formatCode>General</c:formatCode>
                <c:ptCount val="1"/>
                <c:pt idx="0">
                  <c:v>73.16447368421052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6C-42DE-8FF7-C2A02DC331E2}"/>
            </c:ext>
          </c:extLst>
        </c:ser>
        <c:ser>
          <c:idx val="1"/>
          <c:order val="1"/>
          <c:tx>
            <c:strRef>
              <c:f>'Subject-wise Performance'!$B$3</c:f>
              <c:strCache>
                <c:ptCount val="1"/>
                <c:pt idx="0">
                  <c:v>Average of Physics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7F6C-42DE-8FF7-C2A02DC331E2}"/>
              </c:ext>
            </c:extLst>
          </c:dPt>
          <c:cat>
            <c:strRef>
              <c:f>'Subject-wise Performance'!$A$4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'Subject-wise Performance'!$B$4</c:f>
              <c:numCache>
                <c:formatCode>General</c:formatCode>
                <c:ptCount val="1"/>
                <c:pt idx="0">
                  <c:v>70.48026315789474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F6C-42DE-8FF7-C2A02DC331E2}"/>
            </c:ext>
          </c:extLst>
        </c:ser>
        <c:ser>
          <c:idx val="2"/>
          <c:order val="2"/>
          <c:tx>
            <c:strRef>
              <c:f>'Subject-wise Performance'!$C$3</c:f>
              <c:strCache>
                <c:ptCount val="1"/>
                <c:pt idx="0">
                  <c:v>Average of Chemistry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F6C-42DE-8FF7-C2A02DC331E2}"/>
              </c:ext>
            </c:extLst>
          </c:dPt>
          <c:cat>
            <c:strRef>
              <c:f>'Subject-wise Performance'!$A$4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'Subject-wise Performance'!$C$4</c:f>
              <c:numCache>
                <c:formatCode>General</c:formatCode>
                <c:ptCount val="1"/>
                <c:pt idx="0">
                  <c:v>72.828947368421055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F6C-42DE-8FF7-C2A02DC33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4</xdr:row>
      <xdr:rowOff>76200</xdr:rowOff>
    </xdr:from>
    <xdr:to>
      <xdr:col>9</xdr:col>
      <xdr:colOff>219075</xdr:colOff>
      <xdr:row>18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City">
              <a:extLst>
                <a:ext uri="{FF2B5EF4-FFF2-40B4-BE49-F238E27FC236}">
                  <a16:creationId xmlns:a16="http://schemas.microsoft.com/office/drawing/2014/main" id="{272E2BE6-B8CE-7E21-6F30-030DD549A4A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28875" y="8382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12</xdr:col>
      <xdr:colOff>9525</xdr:colOff>
      <xdr:row>4</xdr:row>
      <xdr:rowOff>180975</xdr:rowOff>
    </xdr:from>
    <xdr:to>
      <xdr:col>18</xdr:col>
      <xdr:colOff>180975</xdr:colOff>
      <xdr:row>18</xdr:row>
      <xdr:rowOff>152400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Zone">
              <a:extLst>
                <a:ext uri="{FF2B5EF4-FFF2-40B4-BE49-F238E27FC236}">
                  <a16:creationId xmlns:a16="http://schemas.microsoft.com/office/drawing/2014/main" id="{7D9ABD52-F28B-29D2-A9F1-F4C6B33AE8F0}"/>
                </a:ext>
                <a:ext uri="{147F2762-F138-4A5C-976F-8EAC2B608ADB}">
                  <a16:predDERef xmlns:a16="http://schemas.microsoft.com/office/drawing/2014/main" pred="{272E2BE6-B8CE-7E21-6F30-030DD549A4A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Zon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76800" y="9429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21</xdr:col>
      <xdr:colOff>0</xdr:colOff>
      <xdr:row>4</xdr:row>
      <xdr:rowOff>171450</xdr:rowOff>
    </xdr:from>
    <xdr:to>
      <xdr:col>27</xdr:col>
      <xdr:colOff>171450</xdr:colOff>
      <xdr:row>18</xdr:row>
      <xdr:rowOff>142875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Test_Name">
              <a:extLst>
                <a:ext uri="{FF2B5EF4-FFF2-40B4-BE49-F238E27FC236}">
                  <a16:creationId xmlns:a16="http://schemas.microsoft.com/office/drawing/2014/main" id="{6EB9D5FA-B9FB-BEAF-3C79-B0E545C17387}"/>
                </a:ext>
                <a:ext uri="{147F2762-F138-4A5C-976F-8EAC2B608ADB}">
                  <a16:predDERef xmlns:a16="http://schemas.microsoft.com/office/drawing/2014/main" pred="{7D9ABD52-F28B-29D2-A9F1-F4C6B33AE8F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est_Nam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53300" y="9334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DCC9D6-6B50-4A9F-A485-E2C7D2F772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16</xdr:row>
      <xdr:rowOff>0</xdr:rowOff>
    </xdr:from>
    <xdr:to>
      <xdr:col>7</xdr:col>
      <xdr:colOff>304800</xdr:colOff>
      <xdr:row>30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BDCDCD-22AB-4121-B27C-AD74468C292B}"/>
            </a:ext>
            <a:ext uri="{147F2762-F138-4A5C-976F-8EAC2B608ADB}">
              <a16:predDERef xmlns:a16="http://schemas.microsoft.com/office/drawing/2014/main" pred="{09DCC9D6-6B50-4A9F-A485-E2C7D2F772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104775</xdr:colOff>
      <xdr:row>32</xdr:row>
      <xdr:rowOff>28575</xdr:rowOff>
    </xdr:from>
    <xdr:to>
      <xdr:col>5</xdr:col>
      <xdr:colOff>571500</xdr:colOff>
      <xdr:row>38</xdr:row>
      <xdr:rowOff>47625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F275E9E-2001-D1F2-C9C0-40441F89C99E}"/>
            </a:ext>
            <a:ext uri="{147F2762-F138-4A5C-976F-8EAC2B608ADB}">
              <a16:predDERef xmlns:a16="http://schemas.microsoft.com/office/drawing/2014/main" pred="{40BDCDCD-22AB-4121-B27C-AD74468C292B}"/>
            </a:ext>
          </a:extLst>
        </xdr:cNvPr>
        <xdr:cNvSpPr txBox="1"/>
      </xdr:nvSpPr>
      <xdr:spPr>
        <a:xfrm>
          <a:off x="104775" y="6124575"/>
          <a:ext cx="4657725" cy="1276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1">
              <a:latin typeface="+mn-lt"/>
              <a:ea typeface="+mn-lt"/>
              <a:cs typeface="+mn-lt"/>
            </a:rPr>
            <a:t>Key Insights:</a:t>
          </a:r>
        </a:p>
        <a:p>
          <a:pPr marL="0" indent="0" algn="l"/>
          <a:r>
            <a:rPr lang="en-US" sz="1200" b="1">
              <a:latin typeface="+mn-lt"/>
              <a:ea typeface="+mn-lt"/>
              <a:cs typeface="+mn-lt"/>
            </a:rPr>
            <a:t>• South zone shows highest average performance  </a:t>
          </a:r>
        </a:p>
        <a:p>
          <a:pPr marL="0" indent="0" algn="l"/>
          <a:r>
            <a:rPr lang="en-US" sz="1200" b="1">
              <a:latin typeface="+mn-lt"/>
              <a:ea typeface="+mn-lt"/>
              <a:cs typeface="+mn-lt"/>
            </a:rPr>
            <a:t>• Students with higher attendance (&gt;85%) perform better  </a:t>
          </a:r>
        </a:p>
        <a:p>
          <a:pPr marL="0" indent="0" algn="l"/>
          <a:r>
            <a:rPr lang="en-US" sz="1200" b="1">
              <a:latin typeface="+mn-lt"/>
              <a:ea typeface="+mn-lt"/>
              <a:cs typeface="+mn-lt"/>
            </a:rPr>
            <a:t>• Maths has comparatively lower average scores  </a:t>
          </a:r>
        </a:p>
        <a:p>
          <a:pPr marL="0" indent="0" algn="l"/>
          <a:r>
            <a:rPr lang="en-US" sz="1200" b="1">
              <a:latin typeface="+mn-lt"/>
              <a:ea typeface="+mn-lt"/>
              <a:cs typeface="+mn-lt"/>
            </a:rPr>
            <a:t>• Bangalore has highest number of top-performing students  </a:t>
          </a:r>
        </a:p>
        <a:p>
          <a:pPr marL="0" indent="0" algn="l"/>
          <a:r>
            <a:rPr lang="en-US" sz="1200" b="1">
              <a:latin typeface="+mn-lt"/>
              <a:ea typeface="+mn-lt"/>
              <a:cs typeface="+mn-lt"/>
            </a:rPr>
            <a:t>• Performance shows improvement across tests  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3.902902893518" createdVersion="8" refreshedVersion="8" minRefreshableVersion="3" recordCount="152" xr:uid="{CCC1B7EF-9EC2-4FAE-9962-2D1A68C9AD4E}">
  <cacheSource type="worksheet">
    <worksheetSource ref="A1:O153" sheet="Sheet1"/>
  </cacheSource>
  <cacheFields count="15">
    <cacheField name="Student_ID" numFmtId="0">
      <sharedItems containsSemiMixedTypes="0" containsString="0" containsNumber="1" containsInteger="1" minValue="29" maxValue="580"/>
    </cacheField>
    <cacheField name="Name" numFmtId="0">
      <sharedItems/>
    </cacheField>
    <cacheField name="City" numFmtId="0">
      <sharedItems count="4">
        <s v="Bangalore"/>
        <s v="HYDERABAD"/>
        <s v="Chennai"/>
        <s v="PUNE"/>
      </sharedItems>
    </cacheField>
    <cacheField name="Zone" numFmtId="0">
      <sharedItems count="4">
        <s v="South"/>
        <s v="West"/>
        <s v="North"/>
        <s v="East"/>
      </sharedItems>
    </cacheField>
    <cacheField name="Maths" numFmtId="0">
      <sharedItems containsSemiMixedTypes="0" containsString="0" containsNumber="1" containsInteger="1" minValue="52" maxValue="99"/>
    </cacheField>
    <cacheField name="Physics" numFmtId="0">
      <sharedItems containsSemiMixedTypes="0" containsString="0" containsNumber="1" containsInteger="1" minValue="50" maxValue="98"/>
    </cacheField>
    <cacheField name="Chemistry" numFmtId="0">
      <sharedItems containsSemiMixedTypes="0" containsString="0" containsNumber="1" containsInteger="1" minValue="50" maxValue="98"/>
    </cacheField>
    <cacheField name="Attendance" numFmtId="0">
      <sharedItems containsMixedTypes="1" containsNumber="1" minValue="0.72" maxValue="0.98" count="25">
        <n v="0.9"/>
        <n v="0.82"/>
        <s v="seventy nine"/>
        <n v="0.87"/>
        <n v="0.85"/>
        <n v="0.79"/>
        <s v="eighty five"/>
        <s v="ninety two"/>
        <n v="0.95"/>
        <n v="0.94"/>
        <n v="0.78"/>
        <n v="0.88"/>
        <n v="0.8"/>
        <n v="0.89"/>
        <n v="0.77"/>
        <n v="0.72"/>
        <n v="0.81"/>
        <n v="0.76"/>
        <s v="ninety "/>
        <n v="0.93"/>
        <n v="0.98"/>
        <n v="0.83"/>
        <n v="0.91"/>
        <s v="Eighty Four"/>
        <s v="Seventy Five"/>
      </sharedItems>
    </cacheField>
    <cacheField name="Test_Name" numFmtId="0">
      <sharedItems count="4">
        <s v="Test1"/>
        <s v="Tset1"/>
        <s v="Test2"/>
        <s v="Test3"/>
      </sharedItems>
    </cacheField>
    <cacheField name="Standard City" numFmtId="0">
      <sharedItems/>
    </cacheField>
    <cacheField name="Standard Attendance" numFmtId="0">
      <sharedItems containsSemiMixedTypes="0" containsString="0" containsNumber="1" minValue="0.66" maxValue="0.98" count="23">
        <n v="0.9"/>
        <n v="0.82"/>
        <n v="0.79"/>
        <n v="0.87"/>
        <n v="0.85"/>
        <n v="0.92"/>
        <n v="0.95"/>
        <n v="0.94"/>
        <n v="0.78"/>
        <n v="0.88"/>
        <n v="0.8"/>
        <n v="0.89"/>
        <n v="0.77"/>
        <n v="0.72"/>
        <n v="0.81"/>
        <n v="0.76"/>
        <n v="0.66"/>
        <n v="0.93"/>
        <n v="0.98"/>
        <n v="0.83"/>
        <n v="0.91"/>
        <n v="0.84"/>
        <n v="0.75"/>
      </sharedItems>
    </cacheField>
    <cacheField name="Correct_Zone" numFmtId="0">
      <sharedItems/>
    </cacheField>
    <cacheField name="Total Score" numFmtId="0">
      <sharedItems containsSemiMixedTypes="0" containsString="0" containsNumber="1" containsInteger="1" minValue="184" maxValue="264" count="47">
        <n v="238"/>
        <n v="250"/>
        <n v="234"/>
        <n v="189"/>
        <n v="208"/>
        <n v="230"/>
        <n v="246"/>
        <n v="199"/>
        <n v="223"/>
        <n v="203"/>
        <n v="242"/>
        <n v="254"/>
        <n v="222"/>
        <n v="235"/>
        <n v="207"/>
        <n v="228"/>
        <n v="218"/>
        <n v="184"/>
        <n v="201"/>
        <n v="196"/>
        <n v="204"/>
        <n v="192"/>
        <n v="227"/>
        <n v="231"/>
        <n v="226"/>
        <n v="241"/>
        <n v="264"/>
        <n v="245"/>
        <n v="212"/>
        <n v="187"/>
        <n v="206"/>
        <n v="214"/>
        <n v="225"/>
        <n v="216"/>
        <n v="233"/>
        <n v="220"/>
        <n v="209"/>
        <n v="221"/>
        <n v="198"/>
        <n v="210"/>
        <n v="252"/>
        <n v="191"/>
        <n v="244"/>
        <n v="249"/>
        <n v="261"/>
        <n v="259"/>
        <n v="248"/>
      </sharedItems>
    </cacheField>
    <cacheField name="Average Score" numFmtId="0">
      <sharedItems containsSemiMixedTypes="0" containsString="0" containsNumber="1" minValue="61.333333333333336" maxValue="88"/>
    </cacheField>
    <cacheField name="Performance Category" numFmtId="0">
      <sharedItems/>
    </cacheField>
  </cacheFields>
  <extLst>
    <ext xmlns:x14="http://schemas.microsoft.com/office/spreadsheetml/2009/9/main" uri="{725AE2AE-9491-48be-B2B4-4EB974FC3084}">
      <x14:pivotCacheDefinition pivotCacheId="1444781327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3.943180902781" createdVersion="8" refreshedVersion="8" minRefreshableVersion="3" recordCount="152" xr:uid="{C9A1426A-E878-4128-B82D-F42A826F96CB}">
  <cacheSource type="worksheet">
    <worksheetSource ref="A1:Q153" sheet="Sheet1"/>
  </cacheSource>
  <cacheFields count="17">
    <cacheField name="Student_ID" numFmtId="0">
      <sharedItems containsSemiMixedTypes="0" containsString="0" containsNumber="1" containsInteger="1" minValue="29" maxValue="580"/>
    </cacheField>
    <cacheField name="Name" numFmtId="0">
      <sharedItems/>
    </cacheField>
    <cacheField name="City" numFmtId="0">
      <sharedItems/>
    </cacheField>
    <cacheField name="Zone" numFmtId="0">
      <sharedItems/>
    </cacheField>
    <cacheField name="Maths" numFmtId="0">
      <sharedItems containsSemiMixedTypes="0" containsString="0" containsNumber="1" containsInteger="1" minValue="52" maxValue="99"/>
    </cacheField>
    <cacheField name="Physics" numFmtId="0">
      <sharedItems containsSemiMixedTypes="0" containsString="0" containsNumber="1" containsInteger="1" minValue="50" maxValue="98"/>
    </cacheField>
    <cacheField name="Chemistry" numFmtId="0">
      <sharedItems containsSemiMixedTypes="0" containsString="0" containsNumber="1" containsInteger="1" minValue="50" maxValue="98"/>
    </cacheField>
    <cacheField name="Attendance" numFmtId="0">
      <sharedItems containsMixedTypes="1" containsNumber="1" minValue="0.72" maxValue="0.98"/>
    </cacheField>
    <cacheField name="Test_Name" numFmtId="0">
      <sharedItems count="4">
        <s v="Test1"/>
        <s v="Tset1"/>
        <s v="Test2"/>
        <s v="Test3"/>
      </sharedItems>
    </cacheField>
    <cacheField name="Standard City" numFmtId="0">
      <sharedItems/>
    </cacheField>
    <cacheField name="Standard Attendance" numFmtId="0">
      <sharedItems containsSemiMixedTypes="0" containsString="0" containsNumber="1" minValue="0.66" maxValue="0.98"/>
    </cacheField>
    <cacheField name="Correct_Zone" numFmtId="0">
      <sharedItems/>
    </cacheField>
    <cacheField name="Total Score" numFmtId="0">
      <sharedItems containsSemiMixedTypes="0" containsString="0" containsNumber="1" containsInteger="1" minValue="184" maxValue="264"/>
    </cacheField>
    <cacheField name="Average Score" numFmtId="0">
      <sharedItems containsSemiMixedTypes="0" containsString="0" containsNumber="1" minValue="61.333333333333336" maxValue="88"/>
    </cacheField>
    <cacheField name="Performance Category" numFmtId="0">
      <sharedItems/>
    </cacheField>
    <cacheField name="Attendance_Percent" numFmtId="0">
      <sharedItems containsSemiMixedTypes="0" containsString="0" containsNumber="1" containsInteger="1" minValue="66" maxValue="98"/>
    </cacheField>
    <cacheField name="Attendance_Range" numFmtId="0">
      <sharedItems containsSemiMixedTypes="0" containsString="0" containsNumber="1" containsInteger="1" minValue="60" maxValue="90" count="4">
        <n v="90"/>
        <n v="80"/>
        <n v="70"/>
        <n v="6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">
  <r>
    <n v="101"/>
    <s v="Rahul"/>
    <x v="0"/>
    <x v="0"/>
    <n v="78"/>
    <n v="74"/>
    <n v="86"/>
    <x v="0"/>
    <x v="0"/>
    <s v="BANGALORE"/>
    <x v="0"/>
    <s v="South"/>
    <x v="0"/>
    <n v="79.333333333333329"/>
    <s v="Average"/>
  </r>
  <r>
    <n v="102"/>
    <s v="Dinesh"/>
    <x v="1"/>
    <x v="1"/>
    <n v="90"/>
    <n v="86"/>
    <n v="74"/>
    <x v="1"/>
    <x v="0"/>
    <s v="HYDERABAD"/>
    <x v="1"/>
    <s v="South"/>
    <x v="1"/>
    <n v="83.333333333333329"/>
    <s v="Top"/>
  </r>
  <r>
    <n v="103"/>
    <s v="Deepika"/>
    <x v="1"/>
    <x v="1"/>
    <n v="66"/>
    <n v="78"/>
    <n v="90"/>
    <x v="2"/>
    <x v="0"/>
    <s v="HYDERABAD"/>
    <x v="2"/>
    <s v="South"/>
    <x v="2"/>
    <n v="78"/>
    <s v="Average"/>
  </r>
  <r>
    <n v="104"/>
    <s v="Soumya"/>
    <x v="0"/>
    <x v="2"/>
    <n v="52"/>
    <n v="59"/>
    <n v="78"/>
    <x v="3"/>
    <x v="1"/>
    <s v="BANGALORE"/>
    <x v="3"/>
    <s v="South"/>
    <x v="3"/>
    <n v="63"/>
    <s v="Average"/>
  </r>
  <r>
    <n v="105"/>
    <s v="Ram"/>
    <x v="0"/>
    <x v="0"/>
    <n v="59"/>
    <n v="90"/>
    <n v="59"/>
    <x v="4"/>
    <x v="0"/>
    <s v="BANGALORE"/>
    <x v="4"/>
    <s v="South"/>
    <x v="4"/>
    <n v="69.333333333333329"/>
    <s v="Average"/>
  </r>
  <r>
    <n v="106"/>
    <s v="Sam"/>
    <x v="2"/>
    <x v="3"/>
    <n v="86"/>
    <n v="78"/>
    <n v="66"/>
    <x v="5"/>
    <x v="0"/>
    <s v="CHENNAI"/>
    <x v="2"/>
    <s v="South"/>
    <x v="5"/>
    <n v="76.666666666666671"/>
    <s v="Average"/>
  </r>
  <r>
    <n v="107"/>
    <s v="Jam"/>
    <x v="0"/>
    <x v="0"/>
    <n v="90"/>
    <n v="66"/>
    <n v="90"/>
    <x v="6"/>
    <x v="0"/>
    <s v="BANGALORE"/>
    <x v="4"/>
    <s v="South"/>
    <x v="6"/>
    <n v="82"/>
    <s v="Top"/>
  </r>
  <r>
    <n v="108"/>
    <s v="Sai"/>
    <x v="1"/>
    <x v="1"/>
    <n v="59"/>
    <n v="66"/>
    <n v="74"/>
    <x v="1"/>
    <x v="0"/>
    <s v="HYDERABAD"/>
    <x v="1"/>
    <s v="South"/>
    <x v="7"/>
    <n v="66.333333333333329"/>
    <s v="Average"/>
  </r>
  <r>
    <n v="109"/>
    <s v="Diya"/>
    <x v="0"/>
    <x v="3"/>
    <n v="78"/>
    <n v="86"/>
    <n v="59"/>
    <x v="2"/>
    <x v="0"/>
    <s v="BANGALORE"/>
    <x v="2"/>
    <s v="South"/>
    <x v="8"/>
    <n v="74.333333333333329"/>
    <s v="Average"/>
  </r>
  <r>
    <n v="119"/>
    <s v="Ramya"/>
    <x v="0"/>
    <x v="1"/>
    <n v="66"/>
    <n v="59"/>
    <n v="78"/>
    <x v="0"/>
    <x v="0"/>
    <s v="BANGALORE"/>
    <x v="0"/>
    <s v="South"/>
    <x v="9"/>
    <n v="67.666666666666671"/>
    <s v="Average"/>
  </r>
  <r>
    <n v="111"/>
    <s v="Hari"/>
    <x v="0"/>
    <x v="1"/>
    <n v="86"/>
    <n v="90"/>
    <n v="66"/>
    <x v="7"/>
    <x v="0"/>
    <s v="BANGALORE"/>
    <x v="5"/>
    <s v="South"/>
    <x v="10"/>
    <n v="80.666666666666671"/>
    <s v="Top"/>
  </r>
  <r>
    <n v="112"/>
    <s v="Priya"/>
    <x v="2"/>
    <x v="0"/>
    <n v="90"/>
    <n v="66"/>
    <n v="90"/>
    <x v="4"/>
    <x v="0"/>
    <s v="CHENNAI"/>
    <x v="4"/>
    <s v="South"/>
    <x v="6"/>
    <n v="82"/>
    <s v="Top"/>
  </r>
  <r>
    <n v="113"/>
    <s v="Harthik"/>
    <x v="2"/>
    <x v="1"/>
    <n v="59"/>
    <n v="78"/>
    <n v="86"/>
    <x v="5"/>
    <x v="0"/>
    <s v="CHENNAI"/>
    <x v="2"/>
    <s v="South"/>
    <x v="8"/>
    <n v="74.333333333333329"/>
    <s v="Average"/>
  </r>
  <r>
    <n v="114"/>
    <s v="Deepa"/>
    <x v="0"/>
    <x v="2"/>
    <n v="66"/>
    <n v="74"/>
    <n v="59"/>
    <x v="8"/>
    <x v="0"/>
    <s v="BANGALORE"/>
    <x v="6"/>
    <s v="South"/>
    <x v="7"/>
    <n v="66.333333333333329"/>
    <s v="Average"/>
  </r>
  <r>
    <n v="115"/>
    <s v="Deepthi"/>
    <x v="2"/>
    <x v="1"/>
    <n v="86"/>
    <n v="90"/>
    <n v="78"/>
    <x v="4"/>
    <x v="0"/>
    <s v="CHENNAI"/>
    <x v="4"/>
    <s v="South"/>
    <x v="11"/>
    <n v="84.666666666666671"/>
    <s v="Top"/>
  </r>
  <r>
    <n v="116"/>
    <s v="Fathima"/>
    <x v="0"/>
    <x v="0"/>
    <n v="78"/>
    <n v="86"/>
    <n v="86"/>
    <x v="1"/>
    <x v="0"/>
    <s v="BANGALORE"/>
    <x v="1"/>
    <s v="South"/>
    <x v="1"/>
    <n v="83.333333333333329"/>
    <s v="Top"/>
  </r>
  <r>
    <n v="106"/>
    <s v="Sri"/>
    <x v="0"/>
    <x v="2"/>
    <n v="90"/>
    <n v="66"/>
    <n v="66"/>
    <x v="6"/>
    <x v="0"/>
    <s v="BANGALORE"/>
    <x v="4"/>
    <s v="South"/>
    <x v="12"/>
    <n v="74"/>
    <s v="Average"/>
  </r>
  <r>
    <n v="118"/>
    <s v="Satya"/>
    <x v="0"/>
    <x v="1"/>
    <n v="59"/>
    <n v="86"/>
    <n v="90"/>
    <x v="8"/>
    <x v="0"/>
    <s v="BANGALORE"/>
    <x v="6"/>
    <s v="South"/>
    <x v="13"/>
    <n v="78.333333333333329"/>
    <s v="Average"/>
  </r>
  <r>
    <n v="119"/>
    <s v="Hema"/>
    <x v="1"/>
    <x v="3"/>
    <n v="66"/>
    <n v="59"/>
    <n v="78"/>
    <x v="3"/>
    <x v="0"/>
    <s v="HYDERABAD"/>
    <x v="3"/>
    <s v="South"/>
    <x v="9"/>
    <n v="67.666666666666671"/>
    <s v="Average"/>
  </r>
  <r>
    <n v="120"/>
    <s v="Hrushi"/>
    <x v="0"/>
    <x v="1"/>
    <n v="74"/>
    <n v="74"/>
    <n v="59"/>
    <x v="7"/>
    <x v="0"/>
    <s v="BANGALORE"/>
    <x v="5"/>
    <s v="South"/>
    <x v="14"/>
    <n v="69"/>
    <s v="Average"/>
  </r>
  <r>
    <n v="121"/>
    <s v="Henu"/>
    <x v="2"/>
    <x v="2"/>
    <n v="90"/>
    <n v="78"/>
    <n v="66"/>
    <x v="5"/>
    <x v="0"/>
    <s v="CHENNAI"/>
    <x v="2"/>
    <s v="South"/>
    <x v="2"/>
    <n v="78"/>
    <s v="Average"/>
  </r>
  <r>
    <n v="106"/>
    <s v="Avi"/>
    <x v="0"/>
    <x v="1"/>
    <n v="86"/>
    <n v="52"/>
    <n v="90"/>
    <x v="4"/>
    <x v="0"/>
    <s v="BANGALORE"/>
    <x v="4"/>
    <s v="South"/>
    <x v="15"/>
    <n v="76"/>
    <s v="Average"/>
  </r>
  <r>
    <n v="111"/>
    <s v="Pavi"/>
    <x v="0"/>
    <x v="0"/>
    <n v="66"/>
    <n v="90"/>
    <n v="74"/>
    <x v="1"/>
    <x v="0"/>
    <s v="BANGALORE"/>
    <x v="1"/>
    <s v="South"/>
    <x v="5"/>
    <n v="76.666666666666671"/>
    <s v="Average"/>
  </r>
  <r>
    <n v="124"/>
    <s v="Sheeba"/>
    <x v="0"/>
    <x v="1"/>
    <n v="74"/>
    <n v="66"/>
    <n v="78"/>
    <x v="0"/>
    <x v="0"/>
    <s v="BANGALORE"/>
    <x v="0"/>
    <s v="South"/>
    <x v="16"/>
    <n v="72.666666666666671"/>
    <s v="Average"/>
  </r>
  <r>
    <n v="133"/>
    <s v="Nis"/>
    <x v="0"/>
    <x v="3"/>
    <n v="78"/>
    <n v="86"/>
    <n v="90"/>
    <x v="2"/>
    <x v="0"/>
    <s v="BANGALORE"/>
    <x v="2"/>
    <s v="South"/>
    <x v="11"/>
    <n v="84.666666666666671"/>
    <s v="Top"/>
  </r>
  <r>
    <n v="108"/>
    <s v="Blessy"/>
    <x v="2"/>
    <x v="2"/>
    <n v="59"/>
    <n v="59"/>
    <n v="66"/>
    <x v="5"/>
    <x v="0"/>
    <s v="CHENNAI"/>
    <x v="2"/>
    <s v="South"/>
    <x v="17"/>
    <n v="61.333333333333336"/>
    <s v="Average"/>
  </r>
  <r>
    <n v="127"/>
    <s v="Siri"/>
    <x v="1"/>
    <x v="0"/>
    <n v="66"/>
    <n v="78"/>
    <n v="90"/>
    <x v="4"/>
    <x v="0"/>
    <s v="HYDERABAD"/>
    <x v="4"/>
    <s v="South"/>
    <x v="2"/>
    <n v="78"/>
    <s v="Average"/>
  </r>
  <r>
    <n v="130"/>
    <s v="Chintu"/>
    <x v="0"/>
    <x v="1"/>
    <n v="90"/>
    <n v="52"/>
    <n v="59"/>
    <x v="1"/>
    <x v="0"/>
    <s v="BANGALORE"/>
    <x v="1"/>
    <s v="South"/>
    <x v="18"/>
    <n v="67"/>
    <s v="Average"/>
  </r>
  <r>
    <n v="106"/>
    <s v="Ramesh"/>
    <x v="0"/>
    <x v="2"/>
    <n v="74"/>
    <n v="90"/>
    <n v="78"/>
    <x v="5"/>
    <x v="0"/>
    <s v="BANGALORE"/>
    <x v="2"/>
    <s v="South"/>
    <x v="10"/>
    <n v="80.666666666666671"/>
    <s v="Top"/>
  </r>
  <r>
    <n v="130"/>
    <s v="Suresh"/>
    <x v="0"/>
    <x v="1"/>
    <n v="78"/>
    <n v="52"/>
    <n v="66"/>
    <x v="6"/>
    <x v="0"/>
    <s v="BANGALORE"/>
    <x v="4"/>
    <s v="South"/>
    <x v="19"/>
    <n v="65.333333333333329"/>
    <s v="Average"/>
  </r>
  <r>
    <n v="131"/>
    <s v="Prem"/>
    <x v="0"/>
    <x v="2"/>
    <n v="59"/>
    <n v="52"/>
    <n v="90"/>
    <x v="3"/>
    <x v="0"/>
    <s v="BANGALORE"/>
    <x v="3"/>
    <s v="South"/>
    <x v="18"/>
    <n v="67"/>
    <s v="Average"/>
  </r>
  <r>
    <n v="132"/>
    <s v="Guna"/>
    <x v="0"/>
    <x v="0"/>
    <n v="52"/>
    <n v="78"/>
    <n v="74"/>
    <x v="0"/>
    <x v="0"/>
    <s v="BANGALORE"/>
    <x v="0"/>
    <s v="South"/>
    <x v="20"/>
    <n v="68"/>
    <s v="Average"/>
  </r>
  <r>
    <n v="133"/>
    <s v="Anudeep"/>
    <x v="2"/>
    <x v="1"/>
    <n v="74"/>
    <n v="59"/>
    <n v="59"/>
    <x v="1"/>
    <x v="0"/>
    <s v="CHENNAI"/>
    <x v="1"/>
    <s v="South"/>
    <x v="21"/>
    <n v="64"/>
    <s v="Average"/>
  </r>
  <r>
    <n v="106"/>
    <s v="Vishal"/>
    <x v="0"/>
    <x v="1"/>
    <n v="66"/>
    <n v="66"/>
    <n v="90"/>
    <x v="8"/>
    <x v="0"/>
    <s v="BANGALORE"/>
    <x v="6"/>
    <s v="South"/>
    <x v="12"/>
    <n v="74"/>
    <s v="Average"/>
  </r>
  <r>
    <n v="119"/>
    <s v="Banthi"/>
    <x v="2"/>
    <x v="3"/>
    <n v="59"/>
    <n v="90"/>
    <n v="78"/>
    <x v="2"/>
    <x v="0"/>
    <s v="CHENNAI"/>
    <x v="2"/>
    <s v="South"/>
    <x v="22"/>
    <n v="75.666666666666671"/>
    <s v="Average"/>
  </r>
  <r>
    <n v="136"/>
    <s v="Nani"/>
    <x v="1"/>
    <x v="2"/>
    <n v="78"/>
    <n v="52"/>
    <n v="59"/>
    <x v="5"/>
    <x v="0"/>
    <s v="HYDERABAD"/>
    <x v="2"/>
    <s v="South"/>
    <x v="3"/>
    <n v="63"/>
    <s v="Average"/>
  </r>
  <r>
    <n v="146"/>
    <s v="Pinky"/>
    <x v="0"/>
    <x v="0"/>
    <n v="90"/>
    <n v="66"/>
    <n v="66"/>
    <x v="0"/>
    <x v="0"/>
    <s v="BANGALORE"/>
    <x v="0"/>
    <s v="South"/>
    <x v="12"/>
    <n v="74"/>
    <s v="Average"/>
  </r>
  <r>
    <n v="138"/>
    <s v="Chanti"/>
    <x v="0"/>
    <x v="3"/>
    <n v="74"/>
    <n v="78"/>
    <n v="90"/>
    <x v="7"/>
    <x v="0"/>
    <s v="BANGALORE"/>
    <x v="5"/>
    <s v="South"/>
    <x v="10"/>
    <n v="80.666666666666671"/>
    <s v="Top"/>
  </r>
  <r>
    <n v="139"/>
    <s v="Prasad"/>
    <x v="3"/>
    <x v="1"/>
    <n v="66"/>
    <n v="66"/>
    <n v="52"/>
    <x v="5"/>
    <x v="0"/>
    <s v="PUNE"/>
    <x v="2"/>
    <s v="West"/>
    <x v="17"/>
    <n v="61.333333333333336"/>
    <s v="Average"/>
  </r>
  <r>
    <n v="140"/>
    <s v="Shyam"/>
    <x v="0"/>
    <x v="2"/>
    <n v="59"/>
    <n v="90"/>
    <n v="59"/>
    <x v="3"/>
    <x v="0"/>
    <s v="BANGALORE"/>
    <x v="3"/>
    <s v="South"/>
    <x v="4"/>
    <n v="69.333333333333329"/>
    <s v="Average"/>
  </r>
  <r>
    <n v="141"/>
    <s v="Rohith"/>
    <x v="2"/>
    <x v="0"/>
    <n v="78"/>
    <n v="74"/>
    <n v="86"/>
    <x v="6"/>
    <x v="0"/>
    <s v="CHENNAI"/>
    <x v="4"/>
    <s v="South"/>
    <x v="0"/>
    <n v="79.333333333333329"/>
    <s v="Average"/>
  </r>
  <r>
    <n v="106"/>
    <s v="Vamsi"/>
    <x v="0"/>
    <x v="1"/>
    <n v="74"/>
    <n v="66"/>
    <n v="59"/>
    <x v="1"/>
    <x v="0"/>
    <s v="BANGALORE"/>
    <x v="1"/>
    <s v="South"/>
    <x v="7"/>
    <n v="66.333333333333329"/>
    <s v="Average"/>
  </r>
  <r>
    <n v="122"/>
    <s v="Kalyan"/>
    <x v="1"/>
    <x v="1"/>
    <n v="90"/>
    <n v="59"/>
    <n v="59"/>
    <x v="3"/>
    <x v="0"/>
    <s v="HYDERABAD"/>
    <x v="3"/>
    <s v="South"/>
    <x v="4"/>
    <n v="69.333333333333329"/>
    <s v="Average"/>
  </r>
  <r>
    <n v="144"/>
    <s v="Tilak"/>
    <x v="3"/>
    <x v="2"/>
    <n v="74"/>
    <n v="90"/>
    <n v="90"/>
    <x v="0"/>
    <x v="0"/>
    <s v="PUNE"/>
    <x v="0"/>
    <s v="West"/>
    <x v="11"/>
    <n v="84.666666666666671"/>
    <s v="Top"/>
  </r>
  <r>
    <n v="145"/>
    <s v="Srihitha"/>
    <x v="0"/>
    <x v="1"/>
    <n v="59"/>
    <n v="78"/>
    <n v="52"/>
    <x v="7"/>
    <x v="0"/>
    <s v="BANGALORE"/>
    <x v="5"/>
    <s v="South"/>
    <x v="3"/>
    <n v="63"/>
    <s v="Average"/>
  </r>
  <r>
    <n v="146"/>
    <s v="Lakshmi"/>
    <x v="0"/>
    <x v="0"/>
    <n v="52"/>
    <n v="66"/>
    <n v="66"/>
    <x v="5"/>
    <x v="0"/>
    <s v="BANGALORE"/>
    <x v="2"/>
    <s v="South"/>
    <x v="17"/>
    <n v="61.333333333333336"/>
    <s v="Average"/>
  </r>
  <r>
    <n v="128"/>
    <s v="Suvetha"/>
    <x v="1"/>
    <x v="3"/>
    <n v="52"/>
    <n v="90"/>
    <n v="66"/>
    <x v="4"/>
    <x v="0"/>
    <s v="HYDERABAD"/>
    <x v="4"/>
    <s v="South"/>
    <x v="4"/>
    <n v="69.333333333333329"/>
    <s v="Average"/>
  </r>
  <r>
    <n v="148"/>
    <s v="Srija"/>
    <x v="0"/>
    <x v="0"/>
    <n v="90"/>
    <n v="59"/>
    <n v="78"/>
    <x v="3"/>
    <x v="0"/>
    <s v="BANGALORE"/>
    <x v="3"/>
    <s v="South"/>
    <x v="22"/>
    <n v="75.666666666666671"/>
    <s v="Average"/>
  </r>
  <r>
    <n v="149"/>
    <s v="Pujitha"/>
    <x v="2"/>
    <x v="1"/>
    <n v="78"/>
    <n v="59"/>
    <n v="90"/>
    <x v="8"/>
    <x v="0"/>
    <s v="CHENNAI"/>
    <x v="6"/>
    <s v="South"/>
    <x v="22"/>
    <n v="75.666666666666671"/>
    <s v="Average"/>
  </r>
  <r>
    <n v="150"/>
    <s v="Rahju"/>
    <x v="3"/>
    <x v="0"/>
    <n v="88"/>
    <n v="79"/>
    <n v="64"/>
    <x v="4"/>
    <x v="0"/>
    <s v="PUNE"/>
    <x v="4"/>
    <s v="West"/>
    <x v="23"/>
    <n v="77"/>
    <s v="Average"/>
  </r>
  <r>
    <n v="121"/>
    <s v="Henu"/>
    <x v="2"/>
    <x v="2"/>
    <n v="90"/>
    <n v="78"/>
    <n v="66"/>
    <x v="5"/>
    <x v="2"/>
    <s v="CHENNAI"/>
    <x v="2"/>
    <s v="South"/>
    <x v="2"/>
    <n v="78"/>
    <s v="Average"/>
  </r>
  <r>
    <n v="133"/>
    <s v="Anudeep"/>
    <x v="2"/>
    <x v="1"/>
    <n v="74"/>
    <n v="59"/>
    <n v="59"/>
    <x v="1"/>
    <x v="2"/>
    <s v="CHENNAI"/>
    <x v="1"/>
    <s v="South"/>
    <x v="21"/>
    <n v="64"/>
    <s v="Average"/>
  </r>
  <r>
    <n v="148"/>
    <s v="Srija"/>
    <x v="0"/>
    <x v="0"/>
    <n v="90"/>
    <n v="59"/>
    <n v="78"/>
    <x v="3"/>
    <x v="2"/>
    <s v="BANGALORE"/>
    <x v="3"/>
    <s v="South"/>
    <x v="22"/>
    <n v="75.666666666666671"/>
    <s v="Average"/>
  </r>
  <r>
    <n v="108"/>
    <s v="Blessy"/>
    <x v="2"/>
    <x v="2"/>
    <n v="59"/>
    <n v="59"/>
    <n v="66"/>
    <x v="5"/>
    <x v="2"/>
    <s v="CHENNAI"/>
    <x v="2"/>
    <s v="South"/>
    <x v="17"/>
    <n v="61.333333333333336"/>
    <s v="Average"/>
  </r>
  <r>
    <n v="106"/>
    <s v="Vamsi"/>
    <x v="0"/>
    <x v="1"/>
    <n v="74"/>
    <n v="66"/>
    <n v="59"/>
    <x v="1"/>
    <x v="2"/>
    <s v="BANGALORE"/>
    <x v="1"/>
    <s v="South"/>
    <x v="7"/>
    <n v="66.333333333333329"/>
    <s v="Average"/>
  </r>
  <r>
    <n v="146"/>
    <s v="Lakshmi"/>
    <x v="2"/>
    <x v="0"/>
    <n v="52"/>
    <n v="66"/>
    <n v="66"/>
    <x v="6"/>
    <x v="2"/>
    <s v="CHENNAI"/>
    <x v="4"/>
    <s v="South"/>
    <x v="17"/>
    <n v="61.333333333333336"/>
    <s v="Average"/>
  </r>
  <r>
    <n v="104"/>
    <s v="Soumya"/>
    <x v="0"/>
    <x v="2"/>
    <n v="52"/>
    <n v="59"/>
    <n v="78"/>
    <x v="3"/>
    <x v="2"/>
    <s v="BANGALORE"/>
    <x v="3"/>
    <s v="South"/>
    <x v="3"/>
    <n v="63"/>
    <s v="Average"/>
  </r>
  <r>
    <n v="124"/>
    <s v="Sheeba"/>
    <x v="2"/>
    <x v="1"/>
    <n v="74"/>
    <n v="66"/>
    <n v="78"/>
    <x v="0"/>
    <x v="2"/>
    <s v="CHENNAI"/>
    <x v="0"/>
    <s v="South"/>
    <x v="16"/>
    <n v="72.666666666666671"/>
    <s v="Average"/>
  </r>
  <r>
    <n v="106"/>
    <s v="Vamsi"/>
    <x v="0"/>
    <x v="1"/>
    <n v="74"/>
    <n v="66"/>
    <n v="59"/>
    <x v="7"/>
    <x v="2"/>
    <s v="BANGALORE"/>
    <x v="5"/>
    <s v="South"/>
    <x v="7"/>
    <n v="66.333333333333329"/>
    <s v="Average"/>
  </r>
  <r>
    <n v="103"/>
    <s v="Deepika"/>
    <x v="1"/>
    <x v="1"/>
    <n v="66"/>
    <n v="78"/>
    <n v="90"/>
    <x v="8"/>
    <x v="2"/>
    <s v="HYDERABAD"/>
    <x v="6"/>
    <s v="South"/>
    <x v="2"/>
    <n v="78"/>
    <s v="Average"/>
  </r>
  <r>
    <n v="189"/>
    <s v="Amulya"/>
    <x v="2"/>
    <x v="0"/>
    <n v="78"/>
    <n v="58"/>
    <n v="68"/>
    <x v="5"/>
    <x v="2"/>
    <s v="CHENNAI"/>
    <x v="2"/>
    <s v="South"/>
    <x v="20"/>
    <n v="68"/>
    <s v="Average"/>
  </r>
  <r>
    <n v="104"/>
    <s v="Soumya"/>
    <x v="2"/>
    <x v="2"/>
    <n v="52"/>
    <n v="59"/>
    <n v="78"/>
    <x v="3"/>
    <x v="2"/>
    <s v="CHENNAI"/>
    <x v="3"/>
    <s v="South"/>
    <x v="3"/>
    <n v="63"/>
    <s v="Average"/>
  </r>
  <r>
    <n v="130"/>
    <s v="Suresh"/>
    <x v="0"/>
    <x v="1"/>
    <n v="78"/>
    <n v="52"/>
    <n v="66"/>
    <x v="8"/>
    <x v="2"/>
    <s v="BANGALORE"/>
    <x v="6"/>
    <s v="South"/>
    <x v="19"/>
    <n v="65.333333333333329"/>
    <s v="Average"/>
  </r>
  <r>
    <n v="149"/>
    <s v="Pujitha"/>
    <x v="2"/>
    <x v="1"/>
    <n v="78"/>
    <n v="59"/>
    <n v="90"/>
    <x v="8"/>
    <x v="2"/>
    <s v="CHENNAI"/>
    <x v="6"/>
    <s v="South"/>
    <x v="22"/>
    <n v="75.666666666666671"/>
    <s v="Average"/>
  </r>
  <r>
    <n v="29"/>
    <s v="Trisha"/>
    <x v="1"/>
    <x v="3"/>
    <n v="90"/>
    <n v="76"/>
    <n v="60"/>
    <x v="9"/>
    <x v="2"/>
    <s v="HYDERABAD"/>
    <x v="7"/>
    <s v="South"/>
    <x v="24"/>
    <n v="75.333333333333329"/>
    <s v="Average"/>
  </r>
  <r>
    <n v="140"/>
    <s v="Shyam"/>
    <x v="0"/>
    <x v="2"/>
    <n v="59"/>
    <n v="90"/>
    <n v="59"/>
    <x v="3"/>
    <x v="2"/>
    <s v="BANGALORE"/>
    <x v="3"/>
    <s v="South"/>
    <x v="4"/>
    <n v="69.333333333333329"/>
    <s v="Average"/>
  </r>
  <r>
    <n v="106"/>
    <s v="Sri"/>
    <x v="0"/>
    <x v="2"/>
    <n v="90"/>
    <n v="66"/>
    <n v="66"/>
    <x v="0"/>
    <x v="2"/>
    <s v="BANGALORE"/>
    <x v="0"/>
    <s v="South"/>
    <x v="12"/>
    <n v="74"/>
    <s v="Average"/>
  </r>
  <r>
    <n v="104"/>
    <s v="Soumya"/>
    <x v="0"/>
    <x v="1"/>
    <n v="52"/>
    <n v="59"/>
    <n v="78"/>
    <x v="6"/>
    <x v="2"/>
    <s v="BANGALORE"/>
    <x v="4"/>
    <s v="South"/>
    <x v="3"/>
    <n v="63"/>
    <s v="Average"/>
  </r>
  <r>
    <n v="146"/>
    <s v="Lakshmi"/>
    <x v="2"/>
    <x v="0"/>
    <n v="52"/>
    <n v="66"/>
    <n v="66"/>
    <x v="5"/>
    <x v="2"/>
    <s v="CHENNAI"/>
    <x v="2"/>
    <s v="South"/>
    <x v="17"/>
    <n v="61.333333333333336"/>
    <s v="Average"/>
  </r>
  <r>
    <n v="103"/>
    <s v="Deepika"/>
    <x v="1"/>
    <x v="1"/>
    <n v="66"/>
    <n v="78"/>
    <n v="90"/>
    <x v="2"/>
    <x v="2"/>
    <s v="HYDERABAD"/>
    <x v="2"/>
    <s v="South"/>
    <x v="2"/>
    <n v="78"/>
    <s v="Average"/>
  </r>
  <r>
    <n v="57"/>
    <s v="Sheetal"/>
    <x v="0"/>
    <x v="0"/>
    <n v="98"/>
    <n v="57"/>
    <n v="86"/>
    <x v="10"/>
    <x v="2"/>
    <s v="BANGALORE"/>
    <x v="8"/>
    <s v="South"/>
    <x v="25"/>
    <n v="80.333333333333329"/>
    <s v="Top"/>
  </r>
  <r>
    <n v="149"/>
    <s v="Pujitha"/>
    <x v="2"/>
    <x v="1"/>
    <n v="78"/>
    <n v="59"/>
    <n v="90"/>
    <x v="7"/>
    <x v="2"/>
    <s v="CHENNAI"/>
    <x v="5"/>
    <s v="South"/>
    <x v="22"/>
    <n v="75.666666666666671"/>
    <s v="Average"/>
  </r>
  <r>
    <n v="106"/>
    <s v="Vamsi"/>
    <x v="0"/>
    <x v="0"/>
    <n v="74"/>
    <n v="66"/>
    <n v="59"/>
    <x v="1"/>
    <x v="2"/>
    <s v="BANGALORE"/>
    <x v="1"/>
    <s v="South"/>
    <x v="7"/>
    <n v="66.333333333333329"/>
    <s v="Average"/>
  </r>
  <r>
    <n v="130"/>
    <s v="Suresh"/>
    <x v="0"/>
    <x v="1"/>
    <n v="78"/>
    <n v="52"/>
    <n v="66"/>
    <x v="8"/>
    <x v="2"/>
    <s v="BANGALORE"/>
    <x v="6"/>
    <s v="South"/>
    <x v="19"/>
    <n v="65.333333333333329"/>
    <s v="Average"/>
  </r>
  <r>
    <n v="124"/>
    <s v="Sheeba"/>
    <x v="0"/>
    <x v="1"/>
    <n v="74"/>
    <n v="66"/>
    <n v="78"/>
    <x v="0"/>
    <x v="2"/>
    <s v="BANGALORE"/>
    <x v="0"/>
    <s v="South"/>
    <x v="16"/>
    <n v="72.666666666666671"/>
    <s v="Average"/>
  </r>
  <r>
    <n v="120"/>
    <s v="Hrushi"/>
    <x v="0"/>
    <x v="1"/>
    <n v="74"/>
    <n v="74"/>
    <n v="59"/>
    <x v="1"/>
    <x v="2"/>
    <s v="BANGALORE"/>
    <x v="1"/>
    <s v="South"/>
    <x v="14"/>
    <n v="69"/>
    <s v="Average"/>
  </r>
  <r>
    <n v="148"/>
    <s v="Srija"/>
    <x v="0"/>
    <x v="0"/>
    <n v="90"/>
    <n v="59"/>
    <n v="78"/>
    <x v="2"/>
    <x v="2"/>
    <s v="BANGALORE"/>
    <x v="2"/>
    <s v="South"/>
    <x v="22"/>
    <n v="75.666666666666671"/>
    <s v="Average"/>
  </r>
  <r>
    <n v="146"/>
    <s v="Lakshmi"/>
    <x v="0"/>
    <x v="1"/>
    <n v="52"/>
    <n v="66"/>
    <n v="66"/>
    <x v="5"/>
    <x v="2"/>
    <s v="BANGALORE"/>
    <x v="2"/>
    <s v="South"/>
    <x v="17"/>
    <n v="61.333333333333336"/>
    <s v="Average"/>
  </r>
  <r>
    <n v="78"/>
    <s v="Deeksha"/>
    <x v="3"/>
    <x v="1"/>
    <n v="99"/>
    <n v="76"/>
    <n v="89"/>
    <x v="0"/>
    <x v="2"/>
    <s v="PUNE"/>
    <x v="0"/>
    <s v="West"/>
    <x v="26"/>
    <n v="88"/>
    <s v="Top"/>
  </r>
  <r>
    <n v="130"/>
    <s v="Suresh"/>
    <x v="2"/>
    <x v="1"/>
    <n v="78"/>
    <n v="52"/>
    <n v="66"/>
    <x v="6"/>
    <x v="2"/>
    <s v="CHENNAI"/>
    <x v="4"/>
    <s v="South"/>
    <x v="19"/>
    <n v="65.333333333333329"/>
    <s v="Average"/>
  </r>
  <r>
    <n v="140"/>
    <s v="Shyam"/>
    <x v="0"/>
    <x v="2"/>
    <n v="59"/>
    <n v="90"/>
    <n v="59"/>
    <x v="3"/>
    <x v="2"/>
    <s v="BANGALORE"/>
    <x v="3"/>
    <s v="South"/>
    <x v="4"/>
    <n v="69.333333333333329"/>
    <s v="Average"/>
  </r>
  <r>
    <n v="108"/>
    <s v="Blessy"/>
    <x v="2"/>
    <x v="0"/>
    <n v="59"/>
    <n v="59"/>
    <n v="66"/>
    <x v="5"/>
    <x v="2"/>
    <s v="CHENNAI"/>
    <x v="2"/>
    <s v="South"/>
    <x v="17"/>
    <n v="61.333333333333336"/>
    <s v="Average"/>
  </r>
  <r>
    <n v="146"/>
    <s v="Lakshmi"/>
    <x v="0"/>
    <x v="0"/>
    <n v="52"/>
    <n v="66"/>
    <n v="66"/>
    <x v="5"/>
    <x v="2"/>
    <s v="BANGALORE"/>
    <x v="2"/>
    <s v="South"/>
    <x v="17"/>
    <n v="61.333333333333336"/>
    <s v="Average"/>
  </r>
  <r>
    <n v="288"/>
    <s v="Harini"/>
    <x v="2"/>
    <x v="0"/>
    <n v="68"/>
    <n v="89"/>
    <n v="70"/>
    <x v="11"/>
    <x v="2"/>
    <s v="CHENNAI"/>
    <x v="9"/>
    <s v="South"/>
    <x v="22"/>
    <n v="75.666666666666671"/>
    <s v="Average"/>
  </r>
  <r>
    <n v="106"/>
    <s v="Sri"/>
    <x v="0"/>
    <x v="2"/>
    <n v="90"/>
    <n v="66"/>
    <n v="66"/>
    <x v="7"/>
    <x v="2"/>
    <s v="BANGALORE"/>
    <x v="5"/>
    <s v="South"/>
    <x v="12"/>
    <n v="74"/>
    <s v="Average"/>
  </r>
  <r>
    <n v="104"/>
    <s v="Soumya"/>
    <x v="2"/>
    <x v="1"/>
    <n v="52"/>
    <n v="59"/>
    <n v="78"/>
    <x v="3"/>
    <x v="2"/>
    <s v="CHENNAI"/>
    <x v="3"/>
    <s v="South"/>
    <x v="3"/>
    <n v="63"/>
    <s v="Average"/>
  </r>
  <r>
    <n v="118"/>
    <s v="Satya"/>
    <x v="0"/>
    <x v="0"/>
    <n v="59"/>
    <n v="86"/>
    <n v="90"/>
    <x v="8"/>
    <x v="2"/>
    <s v="BANGALORE"/>
    <x v="6"/>
    <s v="South"/>
    <x v="13"/>
    <n v="78.333333333333329"/>
    <s v="Average"/>
  </r>
  <r>
    <n v="580"/>
    <s v="Meenakshi"/>
    <x v="3"/>
    <x v="1"/>
    <n v="68"/>
    <n v="79"/>
    <n v="98"/>
    <x v="9"/>
    <x v="2"/>
    <s v="PUNE"/>
    <x v="7"/>
    <s v="West"/>
    <x v="27"/>
    <n v="81.666666666666671"/>
    <s v="Top"/>
  </r>
  <r>
    <n v="108"/>
    <s v="Blessy"/>
    <x v="2"/>
    <x v="1"/>
    <n v="59"/>
    <n v="59"/>
    <n v="66"/>
    <x v="5"/>
    <x v="2"/>
    <s v="CHENNAI"/>
    <x v="2"/>
    <s v="South"/>
    <x v="17"/>
    <n v="61.333333333333336"/>
    <s v="Average"/>
  </r>
  <r>
    <n v="190"/>
    <s v="om"/>
    <x v="2"/>
    <x v="0"/>
    <n v="58"/>
    <n v="98"/>
    <n v="79"/>
    <x v="12"/>
    <x v="2"/>
    <s v="CHENNAI"/>
    <x v="10"/>
    <s v="South"/>
    <x v="13"/>
    <n v="78.333333333333329"/>
    <s v="Average"/>
  </r>
  <r>
    <n v="120"/>
    <s v="Hrushi"/>
    <x v="0"/>
    <x v="0"/>
    <n v="74"/>
    <n v="74"/>
    <n v="59"/>
    <x v="6"/>
    <x v="2"/>
    <s v="BANGALORE"/>
    <x v="4"/>
    <s v="South"/>
    <x v="14"/>
    <n v="69"/>
    <s v="Average"/>
  </r>
  <r>
    <n v="118"/>
    <s v="Satya"/>
    <x v="3"/>
    <x v="1"/>
    <n v="59"/>
    <n v="86"/>
    <n v="90"/>
    <x v="8"/>
    <x v="2"/>
    <s v="PUNE"/>
    <x v="6"/>
    <s v="West"/>
    <x v="13"/>
    <n v="78.333333333333329"/>
    <s v="Average"/>
  </r>
  <r>
    <n v="149"/>
    <s v="Pujitha"/>
    <x v="2"/>
    <x v="1"/>
    <n v="78"/>
    <n v="59"/>
    <n v="90"/>
    <x v="8"/>
    <x v="3"/>
    <s v="CHENNAI"/>
    <x v="6"/>
    <s v="South"/>
    <x v="22"/>
    <n v="75.666666666666671"/>
    <s v="Average"/>
  </r>
  <r>
    <n v="103"/>
    <s v="Deepika"/>
    <x v="1"/>
    <x v="1"/>
    <n v="66"/>
    <n v="78"/>
    <n v="90"/>
    <x v="8"/>
    <x v="3"/>
    <s v="HYDERABAD"/>
    <x v="6"/>
    <s v="South"/>
    <x v="2"/>
    <n v="78"/>
    <s v="Average"/>
  </r>
  <r>
    <n v="104"/>
    <s v="Soumya"/>
    <x v="0"/>
    <x v="2"/>
    <n v="52"/>
    <n v="59"/>
    <n v="78"/>
    <x v="3"/>
    <x v="3"/>
    <s v="BANGALORE"/>
    <x v="3"/>
    <s v="South"/>
    <x v="3"/>
    <n v="63"/>
    <s v="Average"/>
  </r>
  <r>
    <n v="82"/>
    <s v="Janaki"/>
    <x v="1"/>
    <x v="3"/>
    <n v="78"/>
    <n v="98"/>
    <n v="69"/>
    <x v="13"/>
    <x v="3"/>
    <s v="HYDERABAD"/>
    <x v="11"/>
    <s v="South"/>
    <x v="27"/>
    <n v="81.666666666666671"/>
    <s v="Top"/>
  </r>
  <r>
    <n v="140"/>
    <s v="Shyam"/>
    <x v="0"/>
    <x v="2"/>
    <n v="59"/>
    <n v="90"/>
    <n v="59"/>
    <x v="3"/>
    <x v="3"/>
    <s v="BANGALORE"/>
    <x v="3"/>
    <s v="South"/>
    <x v="4"/>
    <n v="69.333333333333329"/>
    <s v="Average"/>
  </r>
  <r>
    <n v="120"/>
    <s v="Hrushi"/>
    <x v="3"/>
    <x v="0"/>
    <n v="74"/>
    <n v="74"/>
    <n v="59"/>
    <x v="1"/>
    <x v="3"/>
    <s v="PUNE"/>
    <x v="1"/>
    <s v="West"/>
    <x v="14"/>
    <n v="69"/>
    <s v="Average"/>
  </r>
  <r>
    <n v="90"/>
    <s v="Seetha"/>
    <x v="0"/>
    <x v="1"/>
    <n v="58"/>
    <n v="69"/>
    <n v="85"/>
    <x v="14"/>
    <x v="3"/>
    <s v="BANGALORE"/>
    <x v="12"/>
    <s v="South"/>
    <x v="28"/>
    <n v="70.666666666666671"/>
    <s v="Average"/>
  </r>
  <r>
    <n v="106"/>
    <s v="Sri"/>
    <x v="0"/>
    <x v="2"/>
    <n v="90"/>
    <n v="66"/>
    <n v="66"/>
    <x v="0"/>
    <x v="3"/>
    <s v="BANGALORE"/>
    <x v="0"/>
    <s v="South"/>
    <x v="12"/>
    <n v="74"/>
    <s v="Average"/>
  </r>
  <r>
    <n v="106"/>
    <s v="Vamsi"/>
    <x v="0"/>
    <x v="1"/>
    <n v="74"/>
    <n v="66"/>
    <n v="59"/>
    <x v="1"/>
    <x v="3"/>
    <s v="BANGALORE"/>
    <x v="1"/>
    <s v="South"/>
    <x v="7"/>
    <n v="66.333333333333329"/>
    <s v="Average"/>
  </r>
  <r>
    <n v="120"/>
    <s v="Hrushi"/>
    <x v="0"/>
    <x v="1"/>
    <n v="74"/>
    <n v="74"/>
    <n v="59"/>
    <x v="1"/>
    <x v="3"/>
    <s v="BANGALORE"/>
    <x v="1"/>
    <s v="South"/>
    <x v="14"/>
    <n v="69"/>
    <s v="Average"/>
  </r>
  <r>
    <n v="130"/>
    <s v="Suresh"/>
    <x v="0"/>
    <x v="1"/>
    <n v="78"/>
    <n v="52"/>
    <n v="66"/>
    <x v="8"/>
    <x v="3"/>
    <s v="BANGALORE"/>
    <x v="6"/>
    <s v="South"/>
    <x v="19"/>
    <n v="65.333333333333329"/>
    <s v="Average"/>
  </r>
  <r>
    <n v="146"/>
    <s v="Lakshmi"/>
    <x v="3"/>
    <x v="0"/>
    <n v="52"/>
    <n v="69"/>
    <n v="66"/>
    <x v="5"/>
    <x v="3"/>
    <s v="PUNE"/>
    <x v="2"/>
    <s v="West"/>
    <x v="29"/>
    <n v="62.333333333333336"/>
    <s v="Average"/>
  </r>
  <r>
    <n v="89"/>
    <s v="Champ"/>
    <x v="2"/>
    <x v="0"/>
    <n v="79"/>
    <n v="57"/>
    <n v="60"/>
    <x v="3"/>
    <x v="3"/>
    <s v="CHENNAI"/>
    <x v="3"/>
    <s v="South"/>
    <x v="19"/>
    <n v="65.333333333333329"/>
    <s v="Average"/>
  </r>
  <r>
    <n v="120"/>
    <s v="Hrushi"/>
    <x v="0"/>
    <x v="1"/>
    <n v="74"/>
    <n v="74"/>
    <n v="59"/>
    <x v="6"/>
    <x v="3"/>
    <s v="BANGALORE"/>
    <x v="2"/>
    <s v="South"/>
    <x v="14"/>
    <n v="69"/>
    <s v="Average"/>
  </r>
  <r>
    <n v="104"/>
    <s v="Soumya"/>
    <x v="0"/>
    <x v="2"/>
    <n v="52"/>
    <n v="76"/>
    <n v="78"/>
    <x v="3"/>
    <x v="3"/>
    <s v="BANGALORE"/>
    <x v="3"/>
    <s v="South"/>
    <x v="30"/>
    <n v="68.666666666666671"/>
    <s v="Average"/>
  </r>
  <r>
    <n v="146"/>
    <s v="Lakshmi"/>
    <x v="0"/>
    <x v="0"/>
    <n v="52"/>
    <n v="66"/>
    <n v="66"/>
    <x v="5"/>
    <x v="3"/>
    <s v="BANGALORE"/>
    <x v="2"/>
    <s v="South"/>
    <x v="17"/>
    <n v="61.333333333333336"/>
    <s v="Average"/>
  </r>
  <r>
    <n v="148"/>
    <s v="Srija"/>
    <x v="0"/>
    <x v="0"/>
    <n v="90"/>
    <n v="59"/>
    <n v="78"/>
    <x v="3"/>
    <x v="3"/>
    <s v="BANGALORE"/>
    <x v="3"/>
    <s v="South"/>
    <x v="22"/>
    <n v="75.666666666666671"/>
    <s v="Average"/>
  </r>
  <r>
    <n v="130"/>
    <s v="Suresh"/>
    <x v="2"/>
    <x v="0"/>
    <n v="83"/>
    <n v="86"/>
    <n v="66"/>
    <x v="2"/>
    <x v="3"/>
    <s v="CHENNAI"/>
    <x v="2"/>
    <s v="South"/>
    <x v="13"/>
    <n v="78.333333333333329"/>
    <s v="Average"/>
  </r>
  <r>
    <n v="49"/>
    <s v="Nikhil"/>
    <x v="2"/>
    <x v="0"/>
    <n v="75"/>
    <n v="50"/>
    <n v="89"/>
    <x v="15"/>
    <x v="3"/>
    <s v="CHENNAI"/>
    <x v="13"/>
    <s v="South"/>
    <x v="31"/>
    <n v="71.333333333333329"/>
    <s v="Average"/>
  </r>
  <r>
    <n v="106"/>
    <s v="Sri"/>
    <x v="0"/>
    <x v="2"/>
    <n v="90"/>
    <n v="66"/>
    <n v="69"/>
    <x v="0"/>
    <x v="3"/>
    <s v="BANGALORE"/>
    <x v="0"/>
    <s v="South"/>
    <x v="32"/>
    <n v="75"/>
    <s v="Average"/>
  </r>
  <r>
    <n v="133"/>
    <s v="Anudeep"/>
    <x v="2"/>
    <x v="1"/>
    <n v="74"/>
    <n v="59"/>
    <n v="59"/>
    <x v="1"/>
    <x v="3"/>
    <s v="CHENNAI"/>
    <x v="1"/>
    <s v="South"/>
    <x v="21"/>
    <n v="64"/>
    <s v="Average"/>
  </r>
  <r>
    <n v="121"/>
    <s v="Henu"/>
    <x v="2"/>
    <x v="2"/>
    <n v="84"/>
    <n v="78"/>
    <n v="66"/>
    <x v="5"/>
    <x v="3"/>
    <s v="CHENNAI"/>
    <x v="2"/>
    <s v="South"/>
    <x v="15"/>
    <n v="76"/>
    <s v="Average"/>
  </r>
  <r>
    <n v="88"/>
    <s v="Anushka"/>
    <x v="0"/>
    <x v="1"/>
    <n v="71"/>
    <n v="58"/>
    <n v="87"/>
    <x v="0"/>
    <x v="3"/>
    <s v="BANGALORE"/>
    <x v="0"/>
    <s v="South"/>
    <x v="33"/>
    <n v="72"/>
    <s v="Average"/>
  </r>
  <r>
    <n v="108"/>
    <s v="Blessy"/>
    <x v="0"/>
    <x v="2"/>
    <n v="59"/>
    <n v="59"/>
    <n v="66"/>
    <x v="5"/>
    <x v="3"/>
    <s v="BANGALORE"/>
    <x v="2"/>
    <s v="South"/>
    <x v="17"/>
    <n v="61.333333333333336"/>
    <s v="Average"/>
  </r>
  <r>
    <n v="103"/>
    <s v="Deepika"/>
    <x v="1"/>
    <x v="1"/>
    <n v="55"/>
    <n v="78"/>
    <n v="90"/>
    <x v="8"/>
    <x v="3"/>
    <s v="HYDERABAD"/>
    <x v="6"/>
    <s v="South"/>
    <x v="8"/>
    <n v="74.333333333333329"/>
    <s v="Average"/>
  </r>
  <r>
    <n v="106"/>
    <s v="Vamsi"/>
    <x v="2"/>
    <x v="1"/>
    <n v="74"/>
    <n v="66"/>
    <n v="59"/>
    <x v="1"/>
    <x v="3"/>
    <s v="CHENNAI"/>
    <x v="1"/>
    <s v="South"/>
    <x v="7"/>
    <n v="66.333333333333329"/>
    <s v="Average"/>
  </r>
  <r>
    <n v="124"/>
    <s v="Sheeba"/>
    <x v="0"/>
    <x v="1"/>
    <n v="74"/>
    <n v="66"/>
    <n v="78"/>
    <x v="0"/>
    <x v="3"/>
    <s v="BANGALORE"/>
    <x v="0"/>
    <s v="South"/>
    <x v="16"/>
    <n v="72.666666666666671"/>
    <s v="Average"/>
  </r>
  <r>
    <n v="121"/>
    <s v="Henu"/>
    <x v="2"/>
    <x v="2"/>
    <n v="69"/>
    <n v="78"/>
    <n v="86"/>
    <x v="6"/>
    <x v="3"/>
    <s v="CHENNAI"/>
    <x v="4"/>
    <s v="South"/>
    <x v="34"/>
    <n v="77.666666666666671"/>
    <s v="Average"/>
  </r>
  <r>
    <n v="106"/>
    <s v="Sri"/>
    <x v="0"/>
    <x v="2"/>
    <n v="90"/>
    <n v="58"/>
    <n v="66"/>
    <x v="0"/>
    <x v="3"/>
    <s v="BANGALORE"/>
    <x v="0"/>
    <s v="South"/>
    <x v="31"/>
    <n v="71.333333333333329"/>
    <s v="Average"/>
  </r>
  <r>
    <n v="77"/>
    <s v="Gopi"/>
    <x v="1"/>
    <x v="3"/>
    <n v="80"/>
    <n v="82"/>
    <n v="58"/>
    <x v="16"/>
    <x v="3"/>
    <s v="HYDERABAD"/>
    <x v="14"/>
    <s v="South"/>
    <x v="35"/>
    <n v="73.333333333333329"/>
    <s v="Average"/>
  </r>
  <r>
    <n v="108"/>
    <s v="Blessy"/>
    <x v="2"/>
    <x v="2"/>
    <n v="59"/>
    <n v="59"/>
    <n v="66"/>
    <x v="2"/>
    <x v="3"/>
    <s v="CHENNAI"/>
    <x v="2"/>
    <s v="South"/>
    <x v="17"/>
    <n v="61.333333333333336"/>
    <s v="Average"/>
  </r>
  <r>
    <n v="106"/>
    <s v="Vamsi"/>
    <x v="0"/>
    <x v="1"/>
    <n v="84"/>
    <n v="66"/>
    <n v="59"/>
    <x v="1"/>
    <x v="3"/>
    <s v="BANGALORE"/>
    <x v="1"/>
    <s v="South"/>
    <x v="36"/>
    <n v="69.666666666666671"/>
    <s v="Average"/>
  </r>
  <r>
    <n v="148"/>
    <s v="Srija"/>
    <x v="0"/>
    <x v="0"/>
    <n v="90"/>
    <n v="59"/>
    <n v="78"/>
    <x v="7"/>
    <x v="3"/>
    <s v="BANGALORE"/>
    <x v="5"/>
    <s v="South"/>
    <x v="22"/>
    <n v="75.666666666666671"/>
    <s v="Average"/>
  </r>
  <r>
    <n v="66"/>
    <s v="Arjun"/>
    <x v="1"/>
    <x v="3"/>
    <n v="92"/>
    <n v="61"/>
    <n v="68"/>
    <x v="10"/>
    <x v="3"/>
    <s v="HYDERABAD"/>
    <x v="8"/>
    <s v="South"/>
    <x v="37"/>
    <n v="73.666666666666671"/>
    <s v="Average"/>
  </r>
  <r>
    <n v="133"/>
    <s v="Anudeep"/>
    <x v="2"/>
    <x v="0"/>
    <n v="74"/>
    <n v="59"/>
    <n v="59"/>
    <x v="1"/>
    <x v="3"/>
    <s v="CHENNAI"/>
    <x v="1"/>
    <s v="South"/>
    <x v="21"/>
    <n v="64"/>
    <s v="Average"/>
  </r>
  <r>
    <n v="140"/>
    <s v="Shyam"/>
    <x v="2"/>
    <x v="2"/>
    <n v="59"/>
    <n v="90"/>
    <n v="59"/>
    <x v="3"/>
    <x v="3"/>
    <s v="CHENNAI"/>
    <x v="3"/>
    <s v="South"/>
    <x v="4"/>
    <n v="69.333333333333329"/>
    <s v="Average"/>
  </r>
  <r>
    <n v="95"/>
    <s v="Keshava"/>
    <x v="2"/>
    <x v="0"/>
    <n v="68"/>
    <n v="59"/>
    <n v="71"/>
    <x v="17"/>
    <x v="3"/>
    <s v="CHENNAI"/>
    <x v="15"/>
    <s v="South"/>
    <x v="38"/>
    <n v="66"/>
    <s v="Average"/>
  </r>
  <r>
    <n v="124"/>
    <s v="Sheeba"/>
    <x v="0"/>
    <x v="1"/>
    <n v="74"/>
    <n v="58"/>
    <n v="78"/>
    <x v="7"/>
    <x v="3"/>
    <s v="BANGALORE"/>
    <x v="5"/>
    <s v="South"/>
    <x v="39"/>
    <n v="70"/>
    <s v="Average"/>
  </r>
  <r>
    <n v="121"/>
    <s v="Henu"/>
    <x v="2"/>
    <x v="2"/>
    <n v="90"/>
    <n v="78"/>
    <n v="86"/>
    <x v="5"/>
    <x v="3"/>
    <s v="CHENNAI"/>
    <x v="2"/>
    <s v="South"/>
    <x v="11"/>
    <n v="84.666666666666671"/>
    <s v="Top"/>
  </r>
  <r>
    <n v="82"/>
    <s v="Kishore"/>
    <x v="1"/>
    <x v="3"/>
    <n v="93"/>
    <n v="72"/>
    <n v="87"/>
    <x v="10"/>
    <x v="3"/>
    <s v="HYDERABAD"/>
    <x v="8"/>
    <s v="South"/>
    <x v="40"/>
    <n v="84"/>
    <s v="Top"/>
  </r>
  <r>
    <n v="94"/>
    <s v="Blessy"/>
    <x v="2"/>
    <x v="0"/>
    <n v="59"/>
    <n v="59"/>
    <n v="66"/>
    <x v="6"/>
    <x v="3"/>
    <s v="CHENNAI"/>
    <x v="4"/>
    <s v="South"/>
    <x v="17"/>
    <n v="61.333333333333336"/>
    <s v="Average"/>
  </r>
  <r>
    <n v="120"/>
    <s v="Hrushi"/>
    <x v="0"/>
    <x v="1"/>
    <n v="58"/>
    <n v="74"/>
    <n v="59"/>
    <x v="1"/>
    <x v="3"/>
    <s v="BANGALORE"/>
    <x v="1"/>
    <s v="South"/>
    <x v="41"/>
    <n v="63.666666666666664"/>
    <s v="Average"/>
  </r>
  <r>
    <n v="148"/>
    <s v="Srija"/>
    <x v="0"/>
    <x v="0"/>
    <n v="90"/>
    <n v="59"/>
    <n v="95"/>
    <x v="3"/>
    <x v="3"/>
    <s v="BANGALORE"/>
    <x v="3"/>
    <s v="South"/>
    <x v="42"/>
    <n v="81.333333333333329"/>
    <s v="Top"/>
  </r>
  <r>
    <n v="133"/>
    <s v="Anudeep"/>
    <x v="0"/>
    <x v="1"/>
    <n v="74"/>
    <n v="59"/>
    <n v="59"/>
    <x v="1"/>
    <x v="3"/>
    <s v="BANGALORE"/>
    <x v="1"/>
    <s v="South"/>
    <x v="21"/>
    <n v="64"/>
    <s v="Average"/>
  </r>
  <r>
    <n v="121"/>
    <s v="Henu"/>
    <x v="2"/>
    <x v="2"/>
    <n v="90"/>
    <n v="78"/>
    <n v="66"/>
    <x v="2"/>
    <x v="3"/>
    <s v="CHENNAI"/>
    <x v="16"/>
    <s v="South"/>
    <x v="2"/>
    <n v="78"/>
    <s v="Average"/>
  </r>
  <r>
    <n v="37"/>
    <s v="Padma"/>
    <x v="2"/>
    <x v="0"/>
    <n v="62"/>
    <n v="81"/>
    <n v="90"/>
    <x v="18"/>
    <x v="3"/>
    <s v="CHENNAI"/>
    <x v="0"/>
    <s v="South"/>
    <x v="34"/>
    <n v="77.666666666666671"/>
    <s v="Average"/>
  </r>
  <r>
    <n v="124"/>
    <s v="Sheeba"/>
    <x v="0"/>
    <x v="0"/>
    <n v="74"/>
    <n v="66"/>
    <n v="78"/>
    <x v="0"/>
    <x v="3"/>
    <s v="BANGALORE"/>
    <x v="0"/>
    <s v="South"/>
    <x v="16"/>
    <n v="72.666666666666671"/>
    <s v="Average"/>
  </r>
  <r>
    <n v="149"/>
    <s v="Pujitha"/>
    <x v="2"/>
    <x v="1"/>
    <n v="78"/>
    <n v="59"/>
    <n v="90"/>
    <x v="7"/>
    <x v="3"/>
    <s v="CHENNAI"/>
    <x v="5"/>
    <s v="South"/>
    <x v="22"/>
    <n v="75.666666666666671"/>
    <s v="Average"/>
  </r>
  <r>
    <n v="190"/>
    <s v="Jiobiden"/>
    <x v="0"/>
    <x v="1"/>
    <n v="59"/>
    <n v="72"/>
    <n v="83"/>
    <x v="19"/>
    <x v="3"/>
    <s v="BANGALORE"/>
    <x v="17"/>
    <s v="South"/>
    <x v="31"/>
    <n v="71.333333333333329"/>
    <s v="Average"/>
  </r>
  <r>
    <n v="131"/>
    <s v="Anu "/>
    <x v="0"/>
    <x v="0"/>
    <n v="88"/>
    <n v="76"/>
    <n v="58"/>
    <x v="20"/>
    <x v="3"/>
    <s v="BANGALORE"/>
    <x v="18"/>
    <s v="South"/>
    <x v="12"/>
    <n v="74"/>
    <s v="Average"/>
  </r>
  <r>
    <n v="132"/>
    <s v="Babu"/>
    <x v="2"/>
    <x v="0"/>
    <n v="83"/>
    <n v="76"/>
    <n v="83"/>
    <x v="13"/>
    <x v="3"/>
    <s v="CHENNAI"/>
    <x v="11"/>
    <s v="South"/>
    <x v="10"/>
    <n v="80.666666666666671"/>
    <s v="Top"/>
  </r>
  <r>
    <n v="168"/>
    <s v="Chimtu"/>
    <x v="0"/>
    <x v="0"/>
    <n v="87"/>
    <n v="79"/>
    <n v="68"/>
    <x v="21"/>
    <x v="3"/>
    <s v="BANGALORE"/>
    <x v="19"/>
    <s v="South"/>
    <x v="2"/>
    <n v="78"/>
    <s v="Average"/>
  </r>
  <r>
    <n v="299"/>
    <s v="Trump"/>
    <x v="0"/>
    <x v="1"/>
    <n v="98"/>
    <n v="79"/>
    <n v="50"/>
    <x v="22"/>
    <x v="3"/>
    <s v="BANGALORE"/>
    <x v="20"/>
    <s v="South"/>
    <x v="22"/>
    <n v="75.666666666666671"/>
    <s v="Average"/>
  </r>
  <r>
    <n v="298"/>
    <s v="Rahul"/>
    <x v="1"/>
    <x v="0"/>
    <n v="79"/>
    <n v="89"/>
    <n v="50"/>
    <x v="23"/>
    <x v="3"/>
    <s v="HYDERABAD"/>
    <x v="21"/>
    <s v="South"/>
    <x v="16"/>
    <n v="72.666666666666671"/>
    <s v="Average"/>
  </r>
  <r>
    <n v="277"/>
    <s v="Nithitha"/>
    <x v="3"/>
    <x v="1"/>
    <n v="79"/>
    <n v="96"/>
    <n v="74"/>
    <x v="9"/>
    <x v="3"/>
    <s v="PUNE"/>
    <x v="7"/>
    <s v="West"/>
    <x v="43"/>
    <n v="83"/>
    <s v="Top"/>
  </r>
  <r>
    <n v="166"/>
    <s v="Rushagna"/>
    <x v="3"/>
    <x v="0"/>
    <n v="93"/>
    <n v="82"/>
    <n v="69"/>
    <x v="5"/>
    <x v="3"/>
    <s v="PUNE"/>
    <x v="2"/>
    <s v="West"/>
    <x v="42"/>
    <n v="81.333333333333329"/>
    <s v="Top"/>
  </r>
  <r>
    <n v="287"/>
    <s v="Mani"/>
    <x v="2"/>
    <x v="0"/>
    <n v="96"/>
    <n v="81"/>
    <n v="84"/>
    <x v="19"/>
    <x v="3"/>
    <s v="CHENNAI"/>
    <x v="17"/>
    <s v="South"/>
    <x v="44"/>
    <n v="87"/>
    <s v="Top"/>
  </r>
  <r>
    <n v="474"/>
    <s v="Akhil"/>
    <x v="1"/>
    <x v="1"/>
    <n v="76"/>
    <n v="90"/>
    <n v="93"/>
    <x v="24"/>
    <x v="3"/>
    <s v="HYDERABAD"/>
    <x v="22"/>
    <s v="South"/>
    <x v="45"/>
    <n v="86.333333333333329"/>
    <s v="Top"/>
  </r>
  <r>
    <n v="164"/>
    <s v="Kim"/>
    <x v="0"/>
    <x v="0"/>
    <n v="85"/>
    <n v="69"/>
    <n v="94"/>
    <x v="12"/>
    <x v="3"/>
    <s v="BANGALORE"/>
    <x v="10"/>
    <s v="South"/>
    <x v="46"/>
    <n v="82.666666666666671"/>
    <s v="Top"/>
  </r>
  <r>
    <n v="267"/>
    <s v="Gani"/>
    <x v="1"/>
    <x v="1"/>
    <n v="69"/>
    <n v="70"/>
    <n v="84"/>
    <x v="0"/>
    <x v="3"/>
    <s v="HYDERABAD"/>
    <x v="0"/>
    <s v="South"/>
    <x v="8"/>
    <n v="74.333333333333329"/>
    <s v="Averag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">
  <r>
    <n v="101"/>
    <s v="Rahul"/>
    <s v="Bangalore"/>
    <s v="South"/>
    <n v="78"/>
    <n v="74"/>
    <n v="86"/>
    <n v="0.9"/>
    <x v="0"/>
    <s v="BANGALORE"/>
    <n v="0.9"/>
    <s v="South"/>
    <n v="238"/>
    <n v="79.333333333333329"/>
    <s v="Average"/>
    <n v="90"/>
    <x v="0"/>
  </r>
  <r>
    <n v="102"/>
    <s v="Dinesh"/>
    <s v="HYDERABAD"/>
    <s v="West"/>
    <n v="90"/>
    <n v="86"/>
    <n v="74"/>
    <n v="0.82"/>
    <x v="0"/>
    <s v="HYDERABAD"/>
    <n v="0.82"/>
    <s v="South"/>
    <n v="250"/>
    <n v="83.333333333333329"/>
    <s v="Top"/>
    <n v="82"/>
    <x v="1"/>
  </r>
  <r>
    <n v="103"/>
    <s v="Deepika"/>
    <s v="HYDERABAD"/>
    <s v="West"/>
    <n v="66"/>
    <n v="78"/>
    <n v="90"/>
    <s v="seventy nine"/>
    <x v="0"/>
    <s v="HYDERABAD"/>
    <n v="0.79"/>
    <s v="South"/>
    <n v="234"/>
    <n v="78"/>
    <s v="Average"/>
    <n v="79"/>
    <x v="2"/>
  </r>
  <r>
    <n v="104"/>
    <s v="Soumya"/>
    <s v="Bangalore"/>
    <s v="North"/>
    <n v="52"/>
    <n v="59"/>
    <n v="78"/>
    <n v="0.87"/>
    <x v="1"/>
    <s v="BANGALORE"/>
    <n v="0.87"/>
    <s v="South"/>
    <n v="189"/>
    <n v="63"/>
    <s v="Average"/>
    <n v="87"/>
    <x v="1"/>
  </r>
  <r>
    <n v="105"/>
    <s v="Ram"/>
    <s v="Bangalore"/>
    <s v="South"/>
    <n v="59"/>
    <n v="90"/>
    <n v="59"/>
    <n v="0.85"/>
    <x v="0"/>
    <s v="BANGALORE"/>
    <n v="0.85"/>
    <s v="South"/>
    <n v="208"/>
    <n v="69.333333333333329"/>
    <s v="Average"/>
    <n v="85"/>
    <x v="1"/>
  </r>
  <r>
    <n v="106"/>
    <s v="Sam"/>
    <s v="Chennai"/>
    <s v="East"/>
    <n v="86"/>
    <n v="78"/>
    <n v="66"/>
    <n v="0.79"/>
    <x v="0"/>
    <s v="CHENNAI"/>
    <n v="0.79"/>
    <s v="South"/>
    <n v="230"/>
    <n v="76.666666666666671"/>
    <s v="Average"/>
    <n v="79"/>
    <x v="2"/>
  </r>
  <r>
    <n v="107"/>
    <s v="Jam"/>
    <s v="Bangalore"/>
    <s v="South"/>
    <n v="90"/>
    <n v="66"/>
    <n v="90"/>
    <s v="eighty five"/>
    <x v="0"/>
    <s v="BANGALORE"/>
    <n v="0.85"/>
    <s v="South"/>
    <n v="246"/>
    <n v="82"/>
    <s v="Top"/>
    <n v="85"/>
    <x v="1"/>
  </r>
  <r>
    <n v="108"/>
    <s v="Sai"/>
    <s v="HYDERABAD"/>
    <s v="West"/>
    <n v="59"/>
    <n v="66"/>
    <n v="74"/>
    <n v="0.82"/>
    <x v="0"/>
    <s v="HYDERABAD"/>
    <n v="0.82"/>
    <s v="South"/>
    <n v="199"/>
    <n v="66.333333333333329"/>
    <s v="Average"/>
    <n v="82"/>
    <x v="1"/>
  </r>
  <r>
    <n v="109"/>
    <s v="Diya"/>
    <s v="Bangalore"/>
    <s v="East"/>
    <n v="78"/>
    <n v="86"/>
    <n v="59"/>
    <s v="seventy nine"/>
    <x v="0"/>
    <s v="BANGALORE"/>
    <n v="0.79"/>
    <s v="South"/>
    <n v="223"/>
    <n v="74.333333333333329"/>
    <s v="Average"/>
    <n v="79"/>
    <x v="2"/>
  </r>
  <r>
    <n v="119"/>
    <s v="Ramya"/>
    <s v="Bangalore"/>
    <s v="West"/>
    <n v="66"/>
    <n v="59"/>
    <n v="78"/>
    <n v="0.9"/>
    <x v="0"/>
    <s v="BANGALORE"/>
    <n v="0.9"/>
    <s v="South"/>
    <n v="203"/>
    <n v="67.666666666666671"/>
    <s v="Average"/>
    <n v="90"/>
    <x v="0"/>
  </r>
  <r>
    <n v="111"/>
    <s v="Hari"/>
    <s v="Bangalore"/>
    <s v="West"/>
    <n v="86"/>
    <n v="90"/>
    <n v="66"/>
    <s v="ninety two"/>
    <x v="0"/>
    <s v="BANGALORE"/>
    <n v="0.92"/>
    <s v="South"/>
    <n v="242"/>
    <n v="80.666666666666671"/>
    <s v="Top"/>
    <n v="92"/>
    <x v="0"/>
  </r>
  <r>
    <n v="112"/>
    <s v="Priya"/>
    <s v="Chennai"/>
    <s v="South"/>
    <n v="90"/>
    <n v="66"/>
    <n v="90"/>
    <n v="0.85"/>
    <x v="0"/>
    <s v="CHENNAI"/>
    <n v="0.85"/>
    <s v="South"/>
    <n v="246"/>
    <n v="82"/>
    <s v="Top"/>
    <n v="85"/>
    <x v="1"/>
  </r>
  <r>
    <n v="113"/>
    <s v="Harthik"/>
    <s v="Chennai"/>
    <s v="West"/>
    <n v="59"/>
    <n v="78"/>
    <n v="86"/>
    <n v="0.79"/>
    <x v="0"/>
    <s v="CHENNAI"/>
    <n v="0.79"/>
    <s v="South"/>
    <n v="223"/>
    <n v="74.333333333333329"/>
    <s v="Average"/>
    <n v="79"/>
    <x v="2"/>
  </r>
  <r>
    <n v="114"/>
    <s v="Deepa"/>
    <s v="Bangalore"/>
    <s v="North"/>
    <n v="66"/>
    <n v="74"/>
    <n v="59"/>
    <n v="0.95"/>
    <x v="0"/>
    <s v="BANGALORE"/>
    <n v="0.95"/>
    <s v="South"/>
    <n v="199"/>
    <n v="66.333333333333329"/>
    <s v="Average"/>
    <n v="95"/>
    <x v="0"/>
  </r>
  <r>
    <n v="115"/>
    <s v="Deepthi"/>
    <s v="Chennai"/>
    <s v="West"/>
    <n v="86"/>
    <n v="90"/>
    <n v="78"/>
    <n v="0.85"/>
    <x v="0"/>
    <s v="CHENNAI"/>
    <n v="0.85"/>
    <s v="South"/>
    <n v="254"/>
    <n v="84.666666666666671"/>
    <s v="Top"/>
    <n v="85"/>
    <x v="1"/>
  </r>
  <r>
    <n v="116"/>
    <s v="Fathima"/>
    <s v="Bangalore"/>
    <s v="South"/>
    <n v="78"/>
    <n v="86"/>
    <n v="86"/>
    <n v="0.82"/>
    <x v="0"/>
    <s v="BANGALORE"/>
    <n v="0.82"/>
    <s v="South"/>
    <n v="250"/>
    <n v="83.333333333333329"/>
    <s v="Top"/>
    <n v="82"/>
    <x v="1"/>
  </r>
  <r>
    <n v="106"/>
    <s v="Sri"/>
    <s v="Bangalore"/>
    <s v="North"/>
    <n v="90"/>
    <n v="66"/>
    <n v="66"/>
    <s v="eighty five"/>
    <x v="0"/>
    <s v="BANGALORE"/>
    <n v="0.85"/>
    <s v="South"/>
    <n v="222"/>
    <n v="74"/>
    <s v="Average"/>
    <n v="85"/>
    <x v="1"/>
  </r>
  <r>
    <n v="118"/>
    <s v="Satya"/>
    <s v="Bangalore"/>
    <s v="West"/>
    <n v="59"/>
    <n v="86"/>
    <n v="90"/>
    <n v="0.95"/>
    <x v="0"/>
    <s v="BANGALORE"/>
    <n v="0.95"/>
    <s v="South"/>
    <n v="235"/>
    <n v="78.333333333333329"/>
    <s v="Average"/>
    <n v="95"/>
    <x v="0"/>
  </r>
  <r>
    <n v="119"/>
    <s v="Hema"/>
    <s v="HYDERABAD"/>
    <s v="East"/>
    <n v="66"/>
    <n v="59"/>
    <n v="78"/>
    <n v="0.87"/>
    <x v="0"/>
    <s v="HYDERABAD"/>
    <n v="0.87"/>
    <s v="South"/>
    <n v="203"/>
    <n v="67.666666666666671"/>
    <s v="Average"/>
    <n v="87"/>
    <x v="1"/>
  </r>
  <r>
    <n v="120"/>
    <s v="Hrushi"/>
    <s v="Bangalore"/>
    <s v="West"/>
    <n v="74"/>
    <n v="74"/>
    <n v="59"/>
    <s v="ninety two"/>
    <x v="0"/>
    <s v="BANGALORE"/>
    <n v="0.92"/>
    <s v="South"/>
    <n v="207"/>
    <n v="69"/>
    <s v="Average"/>
    <n v="92"/>
    <x v="0"/>
  </r>
  <r>
    <n v="121"/>
    <s v="Henu"/>
    <s v="Chennai"/>
    <s v="North"/>
    <n v="90"/>
    <n v="78"/>
    <n v="66"/>
    <n v="0.79"/>
    <x v="0"/>
    <s v="CHENNAI"/>
    <n v="0.79"/>
    <s v="South"/>
    <n v="234"/>
    <n v="78"/>
    <s v="Average"/>
    <n v="79"/>
    <x v="2"/>
  </r>
  <r>
    <n v="106"/>
    <s v="Avi"/>
    <s v="Bangalore"/>
    <s v="West"/>
    <n v="86"/>
    <n v="52"/>
    <n v="90"/>
    <n v="0.85"/>
    <x v="0"/>
    <s v="BANGALORE"/>
    <n v="0.85"/>
    <s v="South"/>
    <n v="228"/>
    <n v="76"/>
    <s v="Average"/>
    <n v="85"/>
    <x v="1"/>
  </r>
  <r>
    <n v="111"/>
    <s v="Pavi"/>
    <s v="Bangalore"/>
    <s v="South"/>
    <n v="66"/>
    <n v="90"/>
    <n v="74"/>
    <n v="0.82"/>
    <x v="0"/>
    <s v="BANGALORE"/>
    <n v="0.82"/>
    <s v="South"/>
    <n v="230"/>
    <n v="76.666666666666671"/>
    <s v="Average"/>
    <n v="82"/>
    <x v="1"/>
  </r>
  <r>
    <n v="124"/>
    <s v="Sheeba"/>
    <s v="Bangalore"/>
    <s v="West"/>
    <n v="74"/>
    <n v="66"/>
    <n v="78"/>
    <n v="0.9"/>
    <x v="0"/>
    <s v="BANGALORE"/>
    <n v="0.9"/>
    <s v="South"/>
    <n v="218"/>
    <n v="72.666666666666671"/>
    <s v="Average"/>
    <n v="90"/>
    <x v="0"/>
  </r>
  <r>
    <n v="133"/>
    <s v="Nis"/>
    <s v="Bangalore"/>
    <s v="East"/>
    <n v="78"/>
    <n v="86"/>
    <n v="90"/>
    <s v="seventy nine"/>
    <x v="0"/>
    <s v="BANGALORE"/>
    <n v="0.79"/>
    <s v="South"/>
    <n v="254"/>
    <n v="84.666666666666671"/>
    <s v="Top"/>
    <n v="79"/>
    <x v="2"/>
  </r>
  <r>
    <n v="108"/>
    <s v="Blessy"/>
    <s v="Chennai"/>
    <s v="North"/>
    <n v="59"/>
    <n v="59"/>
    <n v="66"/>
    <n v="0.79"/>
    <x v="0"/>
    <s v="CHENNAI"/>
    <n v="0.79"/>
    <s v="South"/>
    <n v="184"/>
    <n v="61.333333333333336"/>
    <s v="Average"/>
    <n v="79"/>
    <x v="2"/>
  </r>
  <r>
    <n v="127"/>
    <s v="Siri"/>
    <s v="HYDERABAD"/>
    <s v="South"/>
    <n v="66"/>
    <n v="78"/>
    <n v="90"/>
    <n v="0.85"/>
    <x v="0"/>
    <s v="HYDERABAD"/>
    <n v="0.85"/>
    <s v="South"/>
    <n v="234"/>
    <n v="78"/>
    <s v="Average"/>
    <n v="85"/>
    <x v="1"/>
  </r>
  <r>
    <n v="130"/>
    <s v="Chintu"/>
    <s v="Bangalore"/>
    <s v="West"/>
    <n v="90"/>
    <n v="52"/>
    <n v="59"/>
    <n v="0.82"/>
    <x v="0"/>
    <s v="BANGALORE"/>
    <n v="0.82"/>
    <s v="South"/>
    <n v="201"/>
    <n v="67"/>
    <s v="Average"/>
    <n v="82"/>
    <x v="1"/>
  </r>
  <r>
    <n v="106"/>
    <s v="Ramesh"/>
    <s v="Bangalore"/>
    <s v="North"/>
    <n v="74"/>
    <n v="90"/>
    <n v="78"/>
    <n v="0.79"/>
    <x v="0"/>
    <s v="BANGALORE"/>
    <n v="0.79"/>
    <s v="South"/>
    <n v="242"/>
    <n v="80.666666666666671"/>
    <s v="Top"/>
    <n v="79"/>
    <x v="2"/>
  </r>
  <r>
    <n v="130"/>
    <s v="Suresh"/>
    <s v="Bangalore"/>
    <s v="West"/>
    <n v="78"/>
    <n v="52"/>
    <n v="66"/>
    <s v="eighty five"/>
    <x v="0"/>
    <s v="BANGALORE"/>
    <n v="0.85"/>
    <s v="South"/>
    <n v="196"/>
    <n v="65.333333333333329"/>
    <s v="Average"/>
    <n v="85"/>
    <x v="1"/>
  </r>
  <r>
    <n v="131"/>
    <s v="Prem"/>
    <s v="Bangalore"/>
    <s v="North"/>
    <n v="59"/>
    <n v="52"/>
    <n v="90"/>
    <n v="0.87"/>
    <x v="0"/>
    <s v="BANGALORE"/>
    <n v="0.87"/>
    <s v="South"/>
    <n v="201"/>
    <n v="67"/>
    <s v="Average"/>
    <n v="87"/>
    <x v="1"/>
  </r>
  <r>
    <n v="132"/>
    <s v="Guna"/>
    <s v="Bangalore"/>
    <s v="South"/>
    <n v="52"/>
    <n v="78"/>
    <n v="74"/>
    <n v="0.9"/>
    <x v="0"/>
    <s v="BANGALORE"/>
    <n v="0.9"/>
    <s v="South"/>
    <n v="204"/>
    <n v="68"/>
    <s v="Average"/>
    <n v="90"/>
    <x v="0"/>
  </r>
  <r>
    <n v="133"/>
    <s v="Anudeep"/>
    <s v="Chennai"/>
    <s v="West"/>
    <n v="74"/>
    <n v="59"/>
    <n v="59"/>
    <n v="0.82"/>
    <x v="0"/>
    <s v="CHENNAI"/>
    <n v="0.82"/>
    <s v="South"/>
    <n v="192"/>
    <n v="64"/>
    <s v="Average"/>
    <n v="82"/>
    <x v="1"/>
  </r>
  <r>
    <n v="106"/>
    <s v="Vishal"/>
    <s v="Bangalore"/>
    <s v="West"/>
    <n v="66"/>
    <n v="66"/>
    <n v="90"/>
    <n v="0.95"/>
    <x v="0"/>
    <s v="BANGALORE"/>
    <n v="0.95"/>
    <s v="South"/>
    <n v="222"/>
    <n v="74"/>
    <s v="Average"/>
    <n v="95"/>
    <x v="0"/>
  </r>
  <r>
    <n v="119"/>
    <s v="Banthi"/>
    <s v="Chennai"/>
    <s v="East"/>
    <n v="59"/>
    <n v="90"/>
    <n v="78"/>
    <s v="seventy nine"/>
    <x v="0"/>
    <s v="CHENNAI"/>
    <n v="0.79"/>
    <s v="South"/>
    <n v="227"/>
    <n v="75.666666666666671"/>
    <s v="Average"/>
    <n v="79"/>
    <x v="2"/>
  </r>
  <r>
    <n v="136"/>
    <s v="Nani"/>
    <s v="HYDERABAD"/>
    <s v="North"/>
    <n v="78"/>
    <n v="52"/>
    <n v="59"/>
    <n v="0.79"/>
    <x v="0"/>
    <s v="HYDERABAD"/>
    <n v="0.79"/>
    <s v="South"/>
    <n v="189"/>
    <n v="63"/>
    <s v="Average"/>
    <n v="79"/>
    <x v="2"/>
  </r>
  <r>
    <n v="146"/>
    <s v="Pinky"/>
    <s v="Bangalore"/>
    <s v="South"/>
    <n v="90"/>
    <n v="66"/>
    <n v="66"/>
    <n v="0.9"/>
    <x v="0"/>
    <s v="BANGALORE"/>
    <n v="0.9"/>
    <s v="South"/>
    <n v="222"/>
    <n v="74"/>
    <s v="Average"/>
    <n v="90"/>
    <x v="0"/>
  </r>
  <r>
    <n v="138"/>
    <s v="Chanti"/>
    <s v="Bangalore"/>
    <s v="East"/>
    <n v="74"/>
    <n v="78"/>
    <n v="90"/>
    <s v="ninety two"/>
    <x v="0"/>
    <s v="BANGALORE"/>
    <n v="0.92"/>
    <s v="South"/>
    <n v="242"/>
    <n v="80.666666666666671"/>
    <s v="Top"/>
    <n v="92"/>
    <x v="0"/>
  </r>
  <r>
    <n v="139"/>
    <s v="Prasad"/>
    <s v="PUNE"/>
    <s v="West"/>
    <n v="66"/>
    <n v="66"/>
    <n v="52"/>
    <n v="0.79"/>
    <x v="0"/>
    <s v="PUNE"/>
    <n v="0.79"/>
    <s v="West"/>
    <n v="184"/>
    <n v="61.333333333333336"/>
    <s v="Average"/>
    <n v="79"/>
    <x v="2"/>
  </r>
  <r>
    <n v="140"/>
    <s v="Shyam"/>
    <s v="Bangalore"/>
    <s v="North"/>
    <n v="59"/>
    <n v="90"/>
    <n v="59"/>
    <n v="0.87"/>
    <x v="0"/>
    <s v="BANGALORE"/>
    <n v="0.87"/>
    <s v="South"/>
    <n v="208"/>
    <n v="69.333333333333329"/>
    <s v="Average"/>
    <n v="87"/>
    <x v="1"/>
  </r>
  <r>
    <n v="141"/>
    <s v="Rohith"/>
    <s v="Chennai"/>
    <s v="South"/>
    <n v="78"/>
    <n v="74"/>
    <n v="86"/>
    <s v="eighty five"/>
    <x v="0"/>
    <s v="CHENNAI"/>
    <n v="0.85"/>
    <s v="South"/>
    <n v="238"/>
    <n v="79.333333333333329"/>
    <s v="Average"/>
    <n v="85"/>
    <x v="1"/>
  </r>
  <r>
    <n v="106"/>
    <s v="Vamsi"/>
    <s v="Bangalore"/>
    <s v="West"/>
    <n v="74"/>
    <n v="66"/>
    <n v="59"/>
    <n v="0.82"/>
    <x v="0"/>
    <s v="BANGALORE"/>
    <n v="0.82"/>
    <s v="South"/>
    <n v="199"/>
    <n v="66.333333333333329"/>
    <s v="Average"/>
    <n v="82"/>
    <x v="1"/>
  </r>
  <r>
    <n v="122"/>
    <s v="Kalyan"/>
    <s v="HYDERABAD"/>
    <s v="West"/>
    <n v="90"/>
    <n v="59"/>
    <n v="59"/>
    <n v="0.87"/>
    <x v="0"/>
    <s v="HYDERABAD"/>
    <n v="0.87"/>
    <s v="South"/>
    <n v="208"/>
    <n v="69.333333333333329"/>
    <s v="Average"/>
    <n v="87"/>
    <x v="1"/>
  </r>
  <r>
    <n v="144"/>
    <s v="Tilak"/>
    <s v="PUNE"/>
    <s v="North"/>
    <n v="74"/>
    <n v="90"/>
    <n v="90"/>
    <n v="0.9"/>
    <x v="0"/>
    <s v="PUNE"/>
    <n v="0.9"/>
    <s v="West"/>
    <n v="254"/>
    <n v="84.666666666666671"/>
    <s v="Top"/>
    <n v="90"/>
    <x v="0"/>
  </r>
  <r>
    <n v="145"/>
    <s v="Srihitha"/>
    <s v="Bangalore"/>
    <s v="West"/>
    <n v="59"/>
    <n v="78"/>
    <n v="52"/>
    <s v="ninety two"/>
    <x v="0"/>
    <s v="BANGALORE"/>
    <n v="0.92"/>
    <s v="South"/>
    <n v="189"/>
    <n v="63"/>
    <s v="Average"/>
    <n v="92"/>
    <x v="0"/>
  </r>
  <r>
    <n v="146"/>
    <s v="Lakshmi"/>
    <s v="Bangalore"/>
    <s v="South"/>
    <n v="52"/>
    <n v="66"/>
    <n v="66"/>
    <n v="0.79"/>
    <x v="0"/>
    <s v="BANGALORE"/>
    <n v="0.79"/>
    <s v="South"/>
    <n v="184"/>
    <n v="61.333333333333336"/>
    <s v="Average"/>
    <n v="79"/>
    <x v="2"/>
  </r>
  <r>
    <n v="128"/>
    <s v="Suvetha"/>
    <s v="HYDERABAD"/>
    <s v="East"/>
    <n v="52"/>
    <n v="90"/>
    <n v="66"/>
    <n v="0.85"/>
    <x v="0"/>
    <s v="HYDERABAD"/>
    <n v="0.85"/>
    <s v="South"/>
    <n v="208"/>
    <n v="69.333333333333329"/>
    <s v="Average"/>
    <n v="85"/>
    <x v="1"/>
  </r>
  <r>
    <n v="148"/>
    <s v="Srija"/>
    <s v="Bangalore"/>
    <s v="South"/>
    <n v="90"/>
    <n v="59"/>
    <n v="78"/>
    <n v="0.87"/>
    <x v="0"/>
    <s v="BANGALORE"/>
    <n v="0.87"/>
    <s v="South"/>
    <n v="227"/>
    <n v="75.666666666666671"/>
    <s v="Average"/>
    <n v="87"/>
    <x v="1"/>
  </r>
  <r>
    <n v="149"/>
    <s v="Pujitha"/>
    <s v="Chennai"/>
    <s v="West"/>
    <n v="78"/>
    <n v="59"/>
    <n v="90"/>
    <n v="0.95"/>
    <x v="0"/>
    <s v="CHENNAI"/>
    <n v="0.95"/>
    <s v="South"/>
    <n v="227"/>
    <n v="75.666666666666671"/>
    <s v="Average"/>
    <n v="95"/>
    <x v="0"/>
  </r>
  <r>
    <n v="150"/>
    <s v="Rahju"/>
    <s v="PUNE"/>
    <s v="South"/>
    <n v="88"/>
    <n v="79"/>
    <n v="64"/>
    <n v="0.85"/>
    <x v="0"/>
    <s v="PUNE"/>
    <n v="0.85"/>
    <s v="West"/>
    <n v="231"/>
    <n v="77"/>
    <s v="Average"/>
    <n v="85"/>
    <x v="1"/>
  </r>
  <r>
    <n v="121"/>
    <s v="Henu"/>
    <s v="Chennai"/>
    <s v="North"/>
    <n v="90"/>
    <n v="78"/>
    <n v="66"/>
    <n v="0.79"/>
    <x v="2"/>
    <s v="CHENNAI"/>
    <n v="0.79"/>
    <s v="South"/>
    <n v="234"/>
    <n v="78"/>
    <s v="Average"/>
    <n v="79"/>
    <x v="2"/>
  </r>
  <r>
    <n v="133"/>
    <s v="Anudeep"/>
    <s v="Chennai"/>
    <s v="West"/>
    <n v="74"/>
    <n v="59"/>
    <n v="59"/>
    <n v="0.82"/>
    <x v="2"/>
    <s v="CHENNAI"/>
    <n v="0.82"/>
    <s v="South"/>
    <n v="192"/>
    <n v="64"/>
    <s v="Average"/>
    <n v="82"/>
    <x v="1"/>
  </r>
  <r>
    <n v="148"/>
    <s v="Srija"/>
    <s v="Bangalore"/>
    <s v="South"/>
    <n v="90"/>
    <n v="59"/>
    <n v="78"/>
    <n v="0.87"/>
    <x v="2"/>
    <s v="BANGALORE"/>
    <n v="0.87"/>
    <s v="South"/>
    <n v="227"/>
    <n v="75.666666666666671"/>
    <s v="Average"/>
    <n v="87"/>
    <x v="1"/>
  </r>
  <r>
    <n v="108"/>
    <s v="Blessy"/>
    <s v="Chennai"/>
    <s v="North"/>
    <n v="59"/>
    <n v="59"/>
    <n v="66"/>
    <n v="0.79"/>
    <x v="2"/>
    <s v="CHENNAI"/>
    <n v="0.79"/>
    <s v="South"/>
    <n v="184"/>
    <n v="61.333333333333336"/>
    <s v="Average"/>
    <n v="79"/>
    <x v="2"/>
  </r>
  <r>
    <n v="106"/>
    <s v="Vamsi"/>
    <s v="Bangalore"/>
    <s v="West"/>
    <n v="74"/>
    <n v="66"/>
    <n v="59"/>
    <n v="0.82"/>
    <x v="2"/>
    <s v="BANGALORE"/>
    <n v="0.82"/>
    <s v="South"/>
    <n v="199"/>
    <n v="66.333333333333329"/>
    <s v="Average"/>
    <n v="82"/>
    <x v="1"/>
  </r>
  <r>
    <n v="146"/>
    <s v="Lakshmi"/>
    <s v="Chennai"/>
    <s v="South"/>
    <n v="52"/>
    <n v="66"/>
    <n v="66"/>
    <s v="eighty five"/>
    <x v="2"/>
    <s v="CHENNAI"/>
    <n v="0.85"/>
    <s v="South"/>
    <n v="184"/>
    <n v="61.333333333333336"/>
    <s v="Average"/>
    <n v="85"/>
    <x v="1"/>
  </r>
  <r>
    <n v="104"/>
    <s v="Soumya"/>
    <s v="Bangalore"/>
    <s v="North"/>
    <n v="52"/>
    <n v="59"/>
    <n v="78"/>
    <n v="0.87"/>
    <x v="2"/>
    <s v="BANGALORE"/>
    <n v="0.87"/>
    <s v="South"/>
    <n v="189"/>
    <n v="63"/>
    <s v="Average"/>
    <n v="87"/>
    <x v="1"/>
  </r>
  <r>
    <n v="124"/>
    <s v="Sheeba"/>
    <s v="Chennai"/>
    <s v="West"/>
    <n v="74"/>
    <n v="66"/>
    <n v="78"/>
    <n v="0.9"/>
    <x v="2"/>
    <s v="CHENNAI"/>
    <n v="0.9"/>
    <s v="South"/>
    <n v="218"/>
    <n v="72.666666666666671"/>
    <s v="Average"/>
    <n v="90"/>
    <x v="0"/>
  </r>
  <r>
    <n v="106"/>
    <s v="Vamsi"/>
    <s v="Bangalore"/>
    <s v="West"/>
    <n v="74"/>
    <n v="66"/>
    <n v="59"/>
    <s v="ninety two"/>
    <x v="2"/>
    <s v="BANGALORE"/>
    <n v="0.92"/>
    <s v="South"/>
    <n v="199"/>
    <n v="66.333333333333329"/>
    <s v="Average"/>
    <n v="92"/>
    <x v="0"/>
  </r>
  <r>
    <n v="103"/>
    <s v="Deepika"/>
    <s v="HYDERABAD"/>
    <s v="West"/>
    <n v="66"/>
    <n v="78"/>
    <n v="90"/>
    <n v="0.95"/>
    <x v="2"/>
    <s v="HYDERABAD"/>
    <n v="0.95"/>
    <s v="South"/>
    <n v="234"/>
    <n v="78"/>
    <s v="Average"/>
    <n v="95"/>
    <x v="0"/>
  </r>
  <r>
    <n v="189"/>
    <s v="Amulya"/>
    <s v="Chennai"/>
    <s v="South"/>
    <n v="78"/>
    <n v="58"/>
    <n v="68"/>
    <n v="0.79"/>
    <x v="2"/>
    <s v="CHENNAI"/>
    <n v="0.79"/>
    <s v="South"/>
    <n v="204"/>
    <n v="68"/>
    <s v="Average"/>
    <n v="79"/>
    <x v="2"/>
  </r>
  <r>
    <n v="104"/>
    <s v="Soumya"/>
    <s v="Chennai"/>
    <s v="North"/>
    <n v="52"/>
    <n v="59"/>
    <n v="78"/>
    <n v="0.87"/>
    <x v="2"/>
    <s v="CHENNAI"/>
    <n v="0.87"/>
    <s v="South"/>
    <n v="189"/>
    <n v="63"/>
    <s v="Average"/>
    <n v="87"/>
    <x v="1"/>
  </r>
  <r>
    <n v="130"/>
    <s v="Suresh"/>
    <s v="Bangalore"/>
    <s v="West"/>
    <n v="78"/>
    <n v="52"/>
    <n v="66"/>
    <n v="0.95"/>
    <x v="2"/>
    <s v="BANGALORE"/>
    <n v="0.95"/>
    <s v="South"/>
    <n v="196"/>
    <n v="65.333333333333329"/>
    <s v="Average"/>
    <n v="95"/>
    <x v="0"/>
  </r>
  <r>
    <n v="149"/>
    <s v="Pujitha"/>
    <s v="Chennai"/>
    <s v="West"/>
    <n v="78"/>
    <n v="59"/>
    <n v="90"/>
    <n v="0.95"/>
    <x v="2"/>
    <s v="CHENNAI"/>
    <n v="0.95"/>
    <s v="South"/>
    <n v="227"/>
    <n v="75.666666666666671"/>
    <s v="Average"/>
    <n v="95"/>
    <x v="0"/>
  </r>
  <r>
    <n v="29"/>
    <s v="Trisha"/>
    <s v="HYDERABAD"/>
    <s v="East"/>
    <n v="90"/>
    <n v="76"/>
    <n v="60"/>
    <n v="0.94"/>
    <x v="2"/>
    <s v="HYDERABAD"/>
    <n v="0.94"/>
    <s v="South"/>
    <n v="226"/>
    <n v="75.333333333333329"/>
    <s v="Average"/>
    <n v="94"/>
    <x v="0"/>
  </r>
  <r>
    <n v="140"/>
    <s v="Shyam"/>
    <s v="Bangalore"/>
    <s v="North"/>
    <n v="59"/>
    <n v="90"/>
    <n v="59"/>
    <n v="0.87"/>
    <x v="2"/>
    <s v="BANGALORE"/>
    <n v="0.87"/>
    <s v="South"/>
    <n v="208"/>
    <n v="69.333333333333329"/>
    <s v="Average"/>
    <n v="87"/>
    <x v="1"/>
  </r>
  <r>
    <n v="106"/>
    <s v="Sri"/>
    <s v="Bangalore"/>
    <s v="North"/>
    <n v="90"/>
    <n v="66"/>
    <n v="66"/>
    <n v="0.9"/>
    <x v="2"/>
    <s v="BANGALORE"/>
    <n v="0.9"/>
    <s v="South"/>
    <n v="222"/>
    <n v="74"/>
    <s v="Average"/>
    <n v="90"/>
    <x v="0"/>
  </r>
  <r>
    <n v="104"/>
    <s v="Soumya"/>
    <s v="Bangalore"/>
    <s v="West"/>
    <n v="52"/>
    <n v="59"/>
    <n v="78"/>
    <s v="eighty five"/>
    <x v="2"/>
    <s v="BANGALORE"/>
    <n v="0.85"/>
    <s v="South"/>
    <n v="189"/>
    <n v="63"/>
    <s v="Average"/>
    <n v="85"/>
    <x v="1"/>
  </r>
  <r>
    <n v="146"/>
    <s v="Lakshmi"/>
    <s v="Chennai"/>
    <s v="South"/>
    <n v="52"/>
    <n v="66"/>
    <n v="66"/>
    <n v="0.79"/>
    <x v="2"/>
    <s v="CHENNAI"/>
    <n v="0.79"/>
    <s v="South"/>
    <n v="184"/>
    <n v="61.333333333333336"/>
    <s v="Average"/>
    <n v="79"/>
    <x v="2"/>
  </r>
  <r>
    <n v="103"/>
    <s v="Deepika"/>
    <s v="HYDERABAD"/>
    <s v="West"/>
    <n v="66"/>
    <n v="78"/>
    <n v="90"/>
    <s v="seventy nine"/>
    <x v="2"/>
    <s v="HYDERABAD"/>
    <n v="0.79"/>
    <s v="South"/>
    <n v="234"/>
    <n v="78"/>
    <s v="Average"/>
    <n v="79"/>
    <x v="2"/>
  </r>
  <r>
    <n v="57"/>
    <s v="Sheetal"/>
    <s v="Bangalore"/>
    <s v="South"/>
    <n v="98"/>
    <n v="57"/>
    <n v="86"/>
    <n v="0.78"/>
    <x v="2"/>
    <s v="BANGALORE"/>
    <n v="0.78"/>
    <s v="South"/>
    <n v="241"/>
    <n v="80.333333333333329"/>
    <s v="Top"/>
    <n v="78"/>
    <x v="2"/>
  </r>
  <r>
    <n v="149"/>
    <s v="Pujitha"/>
    <s v="Chennai"/>
    <s v="West"/>
    <n v="78"/>
    <n v="59"/>
    <n v="90"/>
    <s v="ninety two"/>
    <x v="2"/>
    <s v="CHENNAI"/>
    <n v="0.92"/>
    <s v="South"/>
    <n v="227"/>
    <n v="75.666666666666671"/>
    <s v="Average"/>
    <n v="92"/>
    <x v="0"/>
  </r>
  <r>
    <n v="106"/>
    <s v="Vamsi"/>
    <s v="Bangalore"/>
    <s v="South"/>
    <n v="74"/>
    <n v="66"/>
    <n v="59"/>
    <n v="0.82"/>
    <x v="2"/>
    <s v="BANGALORE"/>
    <n v="0.82"/>
    <s v="South"/>
    <n v="199"/>
    <n v="66.333333333333329"/>
    <s v="Average"/>
    <n v="82"/>
    <x v="1"/>
  </r>
  <r>
    <n v="130"/>
    <s v="Suresh"/>
    <s v="Bangalore"/>
    <s v="West"/>
    <n v="78"/>
    <n v="52"/>
    <n v="66"/>
    <n v="0.95"/>
    <x v="2"/>
    <s v="BANGALORE"/>
    <n v="0.95"/>
    <s v="South"/>
    <n v="196"/>
    <n v="65.333333333333329"/>
    <s v="Average"/>
    <n v="95"/>
    <x v="0"/>
  </r>
  <r>
    <n v="124"/>
    <s v="Sheeba"/>
    <s v="Bangalore"/>
    <s v="West"/>
    <n v="74"/>
    <n v="66"/>
    <n v="78"/>
    <n v="0.9"/>
    <x v="2"/>
    <s v="BANGALORE"/>
    <n v="0.9"/>
    <s v="South"/>
    <n v="218"/>
    <n v="72.666666666666671"/>
    <s v="Average"/>
    <n v="90"/>
    <x v="0"/>
  </r>
  <r>
    <n v="120"/>
    <s v="Hrushi"/>
    <s v="Bangalore"/>
    <s v="West"/>
    <n v="74"/>
    <n v="74"/>
    <n v="59"/>
    <n v="0.82"/>
    <x v="2"/>
    <s v="BANGALORE"/>
    <n v="0.82"/>
    <s v="South"/>
    <n v="207"/>
    <n v="69"/>
    <s v="Average"/>
    <n v="82"/>
    <x v="1"/>
  </r>
  <r>
    <n v="148"/>
    <s v="Srija"/>
    <s v="Bangalore"/>
    <s v="South"/>
    <n v="90"/>
    <n v="59"/>
    <n v="78"/>
    <s v="seventy nine"/>
    <x v="2"/>
    <s v="BANGALORE"/>
    <n v="0.79"/>
    <s v="South"/>
    <n v="227"/>
    <n v="75.666666666666671"/>
    <s v="Average"/>
    <n v="79"/>
    <x v="2"/>
  </r>
  <r>
    <n v="146"/>
    <s v="Lakshmi"/>
    <s v="Bangalore"/>
    <s v="West"/>
    <n v="52"/>
    <n v="66"/>
    <n v="66"/>
    <n v="0.79"/>
    <x v="2"/>
    <s v="BANGALORE"/>
    <n v="0.79"/>
    <s v="South"/>
    <n v="184"/>
    <n v="61.333333333333336"/>
    <s v="Average"/>
    <n v="79"/>
    <x v="2"/>
  </r>
  <r>
    <n v="78"/>
    <s v="Deeksha"/>
    <s v="PUNE"/>
    <s v="West"/>
    <n v="99"/>
    <n v="76"/>
    <n v="89"/>
    <n v="0.9"/>
    <x v="2"/>
    <s v="PUNE"/>
    <n v="0.9"/>
    <s v="West"/>
    <n v="264"/>
    <n v="88"/>
    <s v="Top"/>
    <n v="90"/>
    <x v="0"/>
  </r>
  <r>
    <n v="130"/>
    <s v="Suresh"/>
    <s v="Chennai"/>
    <s v="West"/>
    <n v="78"/>
    <n v="52"/>
    <n v="66"/>
    <s v="eighty five"/>
    <x v="2"/>
    <s v="CHENNAI"/>
    <n v="0.85"/>
    <s v="South"/>
    <n v="196"/>
    <n v="65.333333333333329"/>
    <s v="Average"/>
    <n v="85"/>
    <x v="1"/>
  </r>
  <r>
    <n v="140"/>
    <s v="Shyam"/>
    <s v="Bangalore"/>
    <s v="North"/>
    <n v="59"/>
    <n v="90"/>
    <n v="59"/>
    <n v="0.87"/>
    <x v="2"/>
    <s v="BANGALORE"/>
    <n v="0.87"/>
    <s v="South"/>
    <n v="208"/>
    <n v="69.333333333333329"/>
    <s v="Average"/>
    <n v="87"/>
    <x v="1"/>
  </r>
  <r>
    <n v="108"/>
    <s v="Blessy"/>
    <s v="Chennai"/>
    <s v="South"/>
    <n v="59"/>
    <n v="59"/>
    <n v="66"/>
    <n v="0.79"/>
    <x v="2"/>
    <s v="CHENNAI"/>
    <n v="0.79"/>
    <s v="South"/>
    <n v="184"/>
    <n v="61.333333333333336"/>
    <s v="Average"/>
    <n v="79"/>
    <x v="2"/>
  </r>
  <r>
    <n v="146"/>
    <s v="Lakshmi"/>
    <s v="Bangalore"/>
    <s v="South"/>
    <n v="52"/>
    <n v="66"/>
    <n v="66"/>
    <n v="0.79"/>
    <x v="2"/>
    <s v="BANGALORE"/>
    <n v="0.79"/>
    <s v="South"/>
    <n v="184"/>
    <n v="61.333333333333336"/>
    <s v="Average"/>
    <n v="79"/>
    <x v="2"/>
  </r>
  <r>
    <n v="288"/>
    <s v="Harini"/>
    <s v="Chennai"/>
    <s v="South"/>
    <n v="68"/>
    <n v="89"/>
    <n v="70"/>
    <n v="0.88"/>
    <x v="2"/>
    <s v="CHENNAI"/>
    <n v="0.88"/>
    <s v="South"/>
    <n v="227"/>
    <n v="75.666666666666671"/>
    <s v="Average"/>
    <n v="88"/>
    <x v="1"/>
  </r>
  <r>
    <n v="106"/>
    <s v="Sri"/>
    <s v="Bangalore"/>
    <s v="North"/>
    <n v="90"/>
    <n v="66"/>
    <n v="66"/>
    <s v="ninety two"/>
    <x v="2"/>
    <s v="BANGALORE"/>
    <n v="0.92"/>
    <s v="South"/>
    <n v="222"/>
    <n v="74"/>
    <s v="Average"/>
    <n v="92"/>
    <x v="0"/>
  </r>
  <r>
    <n v="104"/>
    <s v="Soumya"/>
    <s v="Chennai"/>
    <s v="West"/>
    <n v="52"/>
    <n v="59"/>
    <n v="78"/>
    <n v="0.87"/>
    <x v="2"/>
    <s v="CHENNAI"/>
    <n v="0.87"/>
    <s v="South"/>
    <n v="189"/>
    <n v="63"/>
    <s v="Average"/>
    <n v="87"/>
    <x v="1"/>
  </r>
  <r>
    <n v="118"/>
    <s v="Satya"/>
    <s v="Bangalore"/>
    <s v="South"/>
    <n v="59"/>
    <n v="86"/>
    <n v="90"/>
    <n v="0.95"/>
    <x v="2"/>
    <s v="BANGALORE"/>
    <n v="0.95"/>
    <s v="South"/>
    <n v="235"/>
    <n v="78.333333333333329"/>
    <s v="Average"/>
    <n v="95"/>
    <x v="0"/>
  </r>
  <r>
    <n v="580"/>
    <s v="Meenakshi"/>
    <s v="PUNE"/>
    <s v="West"/>
    <n v="68"/>
    <n v="79"/>
    <n v="98"/>
    <n v="0.94"/>
    <x v="2"/>
    <s v="PUNE"/>
    <n v="0.94"/>
    <s v="West"/>
    <n v="245"/>
    <n v="81.666666666666671"/>
    <s v="Top"/>
    <n v="94"/>
    <x v="0"/>
  </r>
  <r>
    <n v="108"/>
    <s v="Blessy"/>
    <s v="Chennai"/>
    <s v="West"/>
    <n v="59"/>
    <n v="59"/>
    <n v="66"/>
    <n v="0.79"/>
    <x v="2"/>
    <s v="CHENNAI"/>
    <n v="0.79"/>
    <s v="South"/>
    <n v="184"/>
    <n v="61.333333333333336"/>
    <s v="Average"/>
    <n v="79"/>
    <x v="2"/>
  </r>
  <r>
    <n v="190"/>
    <s v="om"/>
    <s v="Chennai"/>
    <s v="South"/>
    <n v="58"/>
    <n v="98"/>
    <n v="79"/>
    <n v="0.8"/>
    <x v="2"/>
    <s v="CHENNAI"/>
    <n v="0.8"/>
    <s v="South"/>
    <n v="235"/>
    <n v="78.333333333333329"/>
    <s v="Average"/>
    <n v="80"/>
    <x v="1"/>
  </r>
  <r>
    <n v="120"/>
    <s v="Hrushi"/>
    <s v="Bangalore"/>
    <s v="South"/>
    <n v="74"/>
    <n v="74"/>
    <n v="59"/>
    <s v="eighty five"/>
    <x v="2"/>
    <s v="BANGALORE"/>
    <n v="0.85"/>
    <s v="South"/>
    <n v="207"/>
    <n v="69"/>
    <s v="Average"/>
    <n v="85"/>
    <x v="1"/>
  </r>
  <r>
    <n v="118"/>
    <s v="Satya"/>
    <s v="PUNE"/>
    <s v="West"/>
    <n v="59"/>
    <n v="86"/>
    <n v="90"/>
    <n v="0.95"/>
    <x v="2"/>
    <s v="PUNE"/>
    <n v="0.95"/>
    <s v="West"/>
    <n v="235"/>
    <n v="78.333333333333329"/>
    <s v="Average"/>
    <n v="95"/>
    <x v="0"/>
  </r>
  <r>
    <n v="149"/>
    <s v="Pujitha"/>
    <s v="Chennai"/>
    <s v="West"/>
    <n v="78"/>
    <n v="59"/>
    <n v="90"/>
    <n v="0.95"/>
    <x v="3"/>
    <s v="CHENNAI"/>
    <n v="0.95"/>
    <s v="South"/>
    <n v="227"/>
    <n v="75.666666666666671"/>
    <s v="Average"/>
    <n v="95"/>
    <x v="0"/>
  </r>
  <r>
    <n v="103"/>
    <s v="Deepika"/>
    <s v="HYDERABAD"/>
    <s v="West"/>
    <n v="66"/>
    <n v="78"/>
    <n v="90"/>
    <n v="0.95"/>
    <x v="3"/>
    <s v="HYDERABAD"/>
    <n v="0.95"/>
    <s v="South"/>
    <n v="234"/>
    <n v="78"/>
    <s v="Average"/>
    <n v="95"/>
    <x v="0"/>
  </r>
  <r>
    <n v="104"/>
    <s v="Soumya"/>
    <s v="Bangalore"/>
    <s v="North"/>
    <n v="52"/>
    <n v="59"/>
    <n v="78"/>
    <n v="0.87"/>
    <x v="3"/>
    <s v="BANGALORE"/>
    <n v="0.87"/>
    <s v="South"/>
    <n v="189"/>
    <n v="63"/>
    <s v="Average"/>
    <n v="87"/>
    <x v="1"/>
  </r>
  <r>
    <n v="82"/>
    <s v="Janaki"/>
    <s v="HYDERABAD"/>
    <s v="East"/>
    <n v="78"/>
    <n v="98"/>
    <n v="69"/>
    <n v="0.89"/>
    <x v="3"/>
    <s v="HYDERABAD"/>
    <n v="0.89"/>
    <s v="South"/>
    <n v="245"/>
    <n v="81.666666666666671"/>
    <s v="Top"/>
    <n v="89"/>
    <x v="1"/>
  </r>
  <r>
    <n v="140"/>
    <s v="Shyam"/>
    <s v="Bangalore"/>
    <s v="North"/>
    <n v="59"/>
    <n v="90"/>
    <n v="59"/>
    <n v="0.87"/>
    <x v="3"/>
    <s v="BANGALORE"/>
    <n v="0.87"/>
    <s v="South"/>
    <n v="208"/>
    <n v="69.333333333333329"/>
    <s v="Average"/>
    <n v="87"/>
    <x v="1"/>
  </r>
  <r>
    <n v="120"/>
    <s v="Hrushi"/>
    <s v="PUNE"/>
    <s v="South"/>
    <n v="74"/>
    <n v="74"/>
    <n v="59"/>
    <n v="0.82"/>
    <x v="3"/>
    <s v="PUNE"/>
    <n v="0.82"/>
    <s v="West"/>
    <n v="207"/>
    <n v="69"/>
    <s v="Average"/>
    <n v="82"/>
    <x v="1"/>
  </r>
  <r>
    <n v="90"/>
    <s v="Seetha"/>
    <s v="Bangalore"/>
    <s v="West"/>
    <n v="58"/>
    <n v="69"/>
    <n v="85"/>
    <n v="0.77"/>
    <x v="3"/>
    <s v="BANGALORE"/>
    <n v="0.77"/>
    <s v="South"/>
    <n v="212"/>
    <n v="70.666666666666671"/>
    <s v="Average"/>
    <n v="77"/>
    <x v="2"/>
  </r>
  <r>
    <n v="106"/>
    <s v="Sri"/>
    <s v="Bangalore"/>
    <s v="North"/>
    <n v="90"/>
    <n v="66"/>
    <n v="66"/>
    <n v="0.9"/>
    <x v="3"/>
    <s v="BANGALORE"/>
    <n v="0.9"/>
    <s v="South"/>
    <n v="222"/>
    <n v="74"/>
    <s v="Average"/>
    <n v="90"/>
    <x v="0"/>
  </r>
  <r>
    <n v="106"/>
    <s v="Vamsi"/>
    <s v="Bangalore"/>
    <s v="West"/>
    <n v="74"/>
    <n v="66"/>
    <n v="59"/>
    <n v="0.82"/>
    <x v="3"/>
    <s v="BANGALORE"/>
    <n v="0.82"/>
    <s v="South"/>
    <n v="199"/>
    <n v="66.333333333333329"/>
    <s v="Average"/>
    <n v="82"/>
    <x v="1"/>
  </r>
  <r>
    <n v="120"/>
    <s v="Hrushi"/>
    <s v="Bangalore"/>
    <s v="West"/>
    <n v="74"/>
    <n v="74"/>
    <n v="59"/>
    <n v="0.82"/>
    <x v="3"/>
    <s v="BANGALORE"/>
    <n v="0.82"/>
    <s v="South"/>
    <n v="207"/>
    <n v="69"/>
    <s v="Average"/>
    <n v="82"/>
    <x v="1"/>
  </r>
  <r>
    <n v="130"/>
    <s v="Suresh"/>
    <s v="Bangalore"/>
    <s v="West"/>
    <n v="78"/>
    <n v="52"/>
    <n v="66"/>
    <n v="0.95"/>
    <x v="3"/>
    <s v="BANGALORE"/>
    <n v="0.95"/>
    <s v="South"/>
    <n v="196"/>
    <n v="65.333333333333329"/>
    <s v="Average"/>
    <n v="95"/>
    <x v="0"/>
  </r>
  <r>
    <n v="146"/>
    <s v="Lakshmi"/>
    <s v="PUNE"/>
    <s v="South"/>
    <n v="52"/>
    <n v="69"/>
    <n v="66"/>
    <n v="0.79"/>
    <x v="3"/>
    <s v="PUNE"/>
    <n v="0.79"/>
    <s v="West"/>
    <n v="187"/>
    <n v="62.333333333333336"/>
    <s v="Average"/>
    <n v="79"/>
    <x v="2"/>
  </r>
  <r>
    <n v="89"/>
    <s v="Champ"/>
    <s v="Chennai"/>
    <s v="South"/>
    <n v="79"/>
    <n v="57"/>
    <n v="60"/>
    <n v="0.87"/>
    <x v="3"/>
    <s v="CHENNAI"/>
    <n v="0.87"/>
    <s v="South"/>
    <n v="196"/>
    <n v="65.333333333333329"/>
    <s v="Average"/>
    <n v="87"/>
    <x v="1"/>
  </r>
  <r>
    <n v="120"/>
    <s v="Hrushi"/>
    <s v="Bangalore"/>
    <s v="West"/>
    <n v="74"/>
    <n v="74"/>
    <n v="59"/>
    <s v="eighty five"/>
    <x v="3"/>
    <s v="BANGALORE"/>
    <n v="0.79"/>
    <s v="South"/>
    <n v="207"/>
    <n v="69"/>
    <s v="Average"/>
    <n v="79"/>
    <x v="2"/>
  </r>
  <r>
    <n v="104"/>
    <s v="Soumya"/>
    <s v="Bangalore"/>
    <s v="North"/>
    <n v="52"/>
    <n v="76"/>
    <n v="78"/>
    <n v="0.87"/>
    <x v="3"/>
    <s v="BANGALORE"/>
    <n v="0.87"/>
    <s v="South"/>
    <n v="206"/>
    <n v="68.666666666666671"/>
    <s v="Average"/>
    <n v="87"/>
    <x v="1"/>
  </r>
  <r>
    <n v="146"/>
    <s v="Lakshmi"/>
    <s v="Bangalore"/>
    <s v="South"/>
    <n v="52"/>
    <n v="66"/>
    <n v="66"/>
    <n v="0.79"/>
    <x v="3"/>
    <s v="BANGALORE"/>
    <n v="0.79"/>
    <s v="South"/>
    <n v="184"/>
    <n v="61.333333333333336"/>
    <s v="Average"/>
    <n v="79"/>
    <x v="2"/>
  </r>
  <r>
    <n v="148"/>
    <s v="Srija"/>
    <s v="Bangalore"/>
    <s v="South"/>
    <n v="90"/>
    <n v="59"/>
    <n v="78"/>
    <n v="0.87"/>
    <x v="3"/>
    <s v="BANGALORE"/>
    <n v="0.87"/>
    <s v="South"/>
    <n v="227"/>
    <n v="75.666666666666671"/>
    <s v="Average"/>
    <n v="87"/>
    <x v="1"/>
  </r>
  <r>
    <n v="130"/>
    <s v="Suresh"/>
    <s v="Chennai"/>
    <s v="South"/>
    <n v="83"/>
    <n v="86"/>
    <n v="66"/>
    <s v="seventy nine"/>
    <x v="3"/>
    <s v="CHENNAI"/>
    <n v="0.79"/>
    <s v="South"/>
    <n v="235"/>
    <n v="78.333333333333329"/>
    <s v="Average"/>
    <n v="79"/>
    <x v="2"/>
  </r>
  <r>
    <n v="49"/>
    <s v="Nikhil"/>
    <s v="Chennai"/>
    <s v="South"/>
    <n v="75"/>
    <n v="50"/>
    <n v="89"/>
    <n v="0.72"/>
    <x v="3"/>
    <s v="CHENNAI"/>
    <n v="0.72"/>
    <s v="South"/>
    <n v="214"/>
    <n v="71.333333333333329"/>
    <s v="Average"/>
    <n v="72"/>
    <x v="2"/>
  </r>
  <r>
    <n v="106"/>
    <s v="Sri"/>
    <s v="Bangalore"/>
    <s v="North"/>
    <n v="90"/>
    <n v="66"/>
    <n v="69"/>
    <n v="0.9"/>
    <x v="3"/>
    <s v="BANGALORE"/>
    <n v="0.9"/>
    <s v="South"/>
    <n v="225"/>
    <n v="75"/>
    <s v="Average"/>
    <n v="90"/>
    <x v="0"/>
  </r>
  <r>
    <n v="133"/>
    <s v="Anudeep"/>
    <s v="Chennai"/>
    <s v="West"/>
    <n v="74"/>
    <n v="59"/>
    <n v="59"/>
    <n v="0.82"/>
    <x v="3"/>
    <s v="CHENNAI"/>
    <n v="0.82"/>
    <s v="South"/>
    <n v="192"/>
    <n v="64"/>
    <s v="Average"/>
    <n v="82"/>
    <x v="1"/>
  </r>
  <r>
    <n v="121"/>
    <s v="Henu"/>
    <s v="Chennai"/>
    <s v="North"/>
    <n v="84"/>
    <n v="78"/>
    <n v="66"/>
    <n v="0.79"/>
    <x v="3"/>
    <s v="CHENNAI"/>
    <n v="0.79"/>
    <s v="South"/>
    <n v="228"/>
    <n v="76"/>
    <s v="Average"/>
    <n v="79"/>
    <x v="2"/>
  </r>
  <r>
    <n v="88"/>
    <s v="Anushka"/>
    <s v="Bangalore"/>
    <s v="West"/>
    <n v="71"/>
    <n v="58"/>
    <n v="87"/>
    <n v="0.9"/>
    <x v="3"/>
    <s v="BANGALORE"/>
    <n v="0.9"/>
    <s v="South"/>
    <n v="216"/>
    <n v="72"/>
    <s v="Average"/>
    <n v="90"/>
    <x v="0"/>
  </r>
  <r>
    <n v="108"/>
    <s v="Blessy"/>
    <s v="Bangalore"/>
    <s v="North"/>
    <n v="59"/>
    <n v="59"/>
    <n v="66"/>
    <n v="0.79"/>
    <x v="3"/>
    <s v="BANGALORE"/>
    <n v="0.79"/>
    <s v="South"/>
    <n v="184"/>
    <n v="61.333333333333336"/>
    <s v="Average"/>
    <n v="79"/>
    <x v="2"/>
  </r>
  <r>
    <n v="103"/>
    <s v="Deepika"/>
    <s v="HYDERABAD"/>
    <s v="West"/>
    <n v="55"/>
    <n v="78"/>
    <n v="90"/>
    <n v="0.95"/>
    <x v="3"/>
    <s v="HYDERABAD"/>
    <n v="0.95"/>
    <s v="South"/>
    <n v="223"/>
    <n v="74.333333333333329"/>
    <s v="Average"/>
    <n v="95"/>
    <x v="0"/>
  </r>
  <r>
    <n v="106"/>
    <s v="Vamsi"/>
    <s v="Chennai"/>
    <s v="West"/>
    <n v="74"/>
    <n v="66"/>
    <n v="59"/>
    <n v="0.82"/>
    <x v="3"/>
    <s v="CHENNAI"/>
    <n v="0.82"/>
    <s v="South"/>
    <n v="199"/>
    <n v="66.333333333333329"/>
    <s v="Average"/>
    <n v="82"/>
    <x v="1"/>
  </r>
  <r>
    <n v="124"/>
    <s v="Sheeba"/>
    <s v="Bangalore"/>
    <s v="West"/>
    <n v="74"/>
    <n v="66"/>
    <n v="78"/>
    <n v="0.9"/>
    <x v="3"/>
    <s v="BANGALORE"/>
    <n v="0.9"/>
    <s v="South"/>
    <n v="218"/>
    <n v="72.666666666666671"/>
    <s v="Average"/>
    <n v="90"/>
    <x v="0"/>
  </r>
  <r>
    <n v="121"/>
    <s v="Henu"/>
    <s v="Chennai"/>
    <s v="North"/>
    <n v="69"/>
    <n v="78"/>
    <n v="86"/>
    <s v="eighty five"/>
    <x v="3"/>
    <s v="CHENNAI"/>
    <n v="0.85"/>
    <s v="South"/>
    <n v="233"/>
    <n v="77.666666666666671"/>
    <s v="Average"/>
    <n v="85"/>
    <x v="1"/>
  </r>
  <r>
    <n v="106"/>
    <s v="Sri"/>
    <s v="Bangalore"/>
    <s v="North"/>
    <n v="90"/>
    <n v="58"/>
    <n v="66"/>
    <n v="0.9"/>
    <x v="3"/>
    <s v="BANGALORE"/>
    <n v="0.9"/>
    <s v="South"/>
    <n v="214"/>
    <n v="71.333333333333329"/>
    <s v="Average"/>
    <n v="90"/>
    <x v="0"/>
  </r>
  <r>
    <n v="77"/>
    <s v="Gopi"/>
    <s v="HYDERABAD"/>
    <s v="East"/>
    <n v="80"/>
    <n v="82"/>
    <n v="58"/>
    <n v="0.81"/>
    <x v="3"/>
    <s v="HYDERABAD"/>
    <n v="0.81"/>
    <s v="South"/>
    <n v="220"/>
    <n v="73.333333333333329"/>
    <s v="Average"/>
    <n v="81"/>
    <x v="1"/>
  </r>
  <r>
    <n v="108"/>
    <s v="Blessy"/>
    <s v="Chennai"/>
    <s v="North"/>
    <n v="59"/>
    <n v="59"/>
    <n v="66"/>
    <s v="seventy nine"/>
    <x v="3"/>
    <s v="CHENNAI"/>
    <n v="0.79"/>
    <s v="South"/>
    <n v="184"/>
    <n v="61.333333333333336"/>
    <s v="Average"/>
    <n v="79"/>
    <x v="2"/>
  </r>
  <r>
    <n v="106"/>
    <s v="Vamsi"/>
    <s v="Bangalore"/>
    <s v="West"/>
    <n v="84"/>
    <n v="66"/>
    <n v="59"/>
    <n v="0.82"/>
    <x v="3"/>
    <s v="BANGALORE"/>
    <n v="0.82"/>
    <s v="South"/>
    <n v="209"/>
    <n v="69.666666666666671"/>
    <s v="Average"/>
    <n v="82"/>
    <x v="1"/>
  </r>
  <r>
    <n v="148"/>
    <s v="Srija"/>
    <s v="Bangalore"/>
    <s v="South"/>
    <n v="90"/>
    <n v="59"/>
    <n v="78"/>
    <s v="ninety two"/>
    <x v="3"/>
    <s v="BANGALORE"/>
    <n v="0.92"/>
    <s v="South"/>
    <n v="227"/>
    <n v="75.666666666666671"/>
    <s v="Average"/>
    <n v="92"/>
    <x v="0"/>
  </r>
  <r>
    <n v="66"/>
    <s v="Arjun"/>
    <s v="HYDERABAD"/>
    <s v="East"/>
    <n v="92"/>
    <n v="61"/>
    <n v="68"/>
    <n v="0.78"/>
    <x v="3"/>
    <s v="HYDERABAD"/>
    <n v="0.78"/>
    <s v="South"/>
    <n v="221"/>
    <n v="73.666666666666671"/>
    <s v="Average"/>
    <n v="78"/>
    <x v="2"/>
  </r>
  <r>
    <n v="133"/>
    <s v="Anudeep"/>
    <s v="Chennai"/>
    <s v="South"/>
    <n v="74"/>
    <n v="59"/>
    <n v="59"/>
    <n v="0.82"/>
    <x v="3"/>
    <s v="CHENNAI"/>
    <n v="0.82"/>
    <s v="South"/>
    <n v="192"/>
    <n v="64"/>
    <s v="Average"/>
    <n v="82"/>
    <x v="1"/>
  </r>
  <r>
    <n v="140"/>
    <s v="Shyam"/>
    <s v="Chennai"/>
    <s v="North"/>
    <n v="59"/>
    <n v="90"/>
    <n v="59"/>
    <n v="0.87"/>
    <x v="3"/>
    <s v="CHENNAI"/>
    <n v="0.87"/>
    <s v="South"/>
    <n v="208"/>
    <n v="69.333333333333329"/>
    <s v="Average"/>
    <n v="87"/>
    <x v="1"/>
  </r>
  <r>
    <n v="95"/>
    <s v="Keshava"/>
    <s v="Chennai"/>
    <s v="South"/>
    <n v="68"/>
    <n v="59"/>
    <n v="71"/>
    <n v="0.76"/>
    <x v="3"/>
    <s v="CHENNAI"/>
    <n v="0.76"/>
    <s v="South"/>
    <n v="198"/>
    <n v="66"/>
    <s v="Average"/>
    <n v="76"/>
    <x v="2"/>
  </r>
  <r>
    <n v="124"/>
    <s v="Sheeba"/>
    <s v="Bangalore"/>
    <s v="West"/>
    <n v="74"/>
    <n v="58"/>
    <n v="78"/>
    <s v="ninety two"/>
    <x v="3"/>
    <s v="BANGALORE"/>
    <n v="0.92"/>
    <s v="South"/>
    <n v="210"/>
    <n v="70"/>
    <s v="Average"/>
    <n v="92"/>
    <x v="0"/>
  </r>
  <r>
    <n v="121"/>
    <s v="Henu"/>
    <s v="Chennai"/>
    <s v="North"/>
    <n v="90"/>
    <n v="78"/>
    <n v="86"/>
    <n v="0.79"/>
    <x v="3"/>
    <s v="CHENNAI"/>
    <n v="0.79"/>
    <s v="South"/>
    <n v="254"/>
    <n v="84.666666666666671"/>
    <s v="Top"/>
    <n v="79"/>
    <x v="2"/>
  </r>
  <r>
    <n v="82"/>
    <s v="Kishore"/>
    <s v="HYDERABAD"/>
    <s v="East"/>
    <n v="93"/>
    <n v="72"/>
    <n v="87"/>
    <n v="0.78"/>
    <x v="3"/>
    <s v="HYDERABAD"/>
    <n v="0.78"/>
    <s v="South"/>
    <n v="252"/>
    <n v="84"/>
    <s v="Top"/>
    <n v="78"/>
    <x v="2"/>
  </r>
  <r>
    <n v="94"/>
    <s v="Blessy"/>
    <s v="Chennai"/>
    <s v="South"/>
    <n v="59"/>
    <n v="59"/>
    <n v="66"/>
    <s v="eighty five"/>
    <x v="3"/>
    <s v="CHENNAI"/>
    <n v="0.85"/>
    <s v="South"/>
    <n v="184"/>
    <n v="61.333333333333336"/>
    <s v="Average"/>
    <n v="85"/>
    <x v="1"/>
  </r>
  <r>
    <n v="120"/>
    <s v="Hrushi"/>
    <s v="Bangalore"/>
    <s v="West"/>
    <n v="58"/>
    <n v="74"/>
    <n v="59"/>
    <n v="0.82"/>
    <x v="3"/>
    <s v="BANGALORE"/>
    <n v="0.82"/>
    <s v="South"/>
    <n v="191"/>
    <n v="63.666666666666664"/>
    <s v="Average"/>
    <n v="82"/>
    <x v="1"/>
  </r>
  <r>
    <n v="148"/>
    <s v="Srija"/>
    <s v="Bangalore"/>
    <s v="South"/>
    <n v="90"/>
    <n v="59"/>
    <n v="95"/>
    <n v="0.87"/>
    <x v="3"/>
    <s v="BANGALORE"/>
    <n v="0.87"/>
    <s v="South"/>
    <n v="244"/>
    <n v="81.333333333333329"/>
    <s v="Top"/>
    <n v="87"/>
    <x v="1"/>
  </r>
  <r>
    <n v="133"/>
    <s v="Anudeep"/>
    <s v="Bangalore"/>
    <s v="West"/>
    <n v="74"/>
    <n v="59"/>
    <n v="59"/>
    <n v="0.82"/>
    <x v="3"/>
    <s v="BANGALORE"/>
    <n v="0.82"/>
    <s v="South"/>
    <n v="192"/>
    <n v="64"/>
    <s v="Average"/>
    <n v="82"/>
    <x v="1"/>
  </r>
  <r>
    <n v="121"/>
    <s v="Henu"/>
    <s v="Chennai"/>
    <s v="North"/>
    <n v="90"/>
    <n v="78"/>
    <n v="66"/>
    <s v="seventy nine"/>
    <x v="3"/>
    <s v="CHENNAI"/>
    <n v="0.66"/>
    <s v="South"/>
    <n v="234"/>
    <n v="78"/>
    <s v="Average"/>
    <n v="66"/>
    <x v="3"/>
  </r>
  <r>
    <n v="37"/>
    <s v="Padma"/>
    <s v="Chennai"/>
    <s v="South"/>
    <n v="62"/>
    <n v="81"/>
    <n v="90"/>
    <s v="ninety "/>
    <x v="3"/>
    <s v="CHENNAI"/>
    <n v="0.9"/>
    <s v="South"/>
    <n v="233"/>
    <n v="77.666666666666671"/>
    <s v="Average"/>
    <n v="90"/>
    <x v="0"/>
  </r>
  <r>
    <n v="124"/>
    <s v="Sheeba"/>
    <s v="Bangalore"/>
    <s v="South"/>
    <n v="74"/>
    <n v="66"/>
    <n v="78"/>
    <n v="0.9"/>
    <x v="3"/>
    <s v="BANGALORE"/>
    <n v="0.9"/>
    <s v="South"/>
    <n v="218"/>
    <n v="72.666666666666671"/>
    <s v="Average"/>
    <n v="90"/>
    <x v="0"/>
  </r>
  <r>
    <n v="149"/>
    <s v="Pujitha"/>
    <s v="Chennai"/>
    <s v="West"/>
    <n v="78"/>
    <n v="59"/>
    <n v="90"/>
    <s v="ninety two"/>
    <x v="3"/>
    <s v="CHENNAI"/>
    <n v="0.92"/>
    <s v="South"/>
    <n v="227"/>
    <n v="75.666666666666671"/>
    <s v="Average"/>
    <n v="92"/>
    <x v="0"/>
  </r>
  <r>
    <n v="190"/>
    <s v="Jiobiden"/>
    <s v="Bangalore"/>
    <s v="West"/>
    <n v="59"/>
    <n v="72"/>
    <n v="83"/>
    <n v="0.93"/>
    <x v="3"/>
    <s v="BANGALORE"/>
    <n v="0.93"/>
    <s v="South"/>
    <n v="214"/>
    <n v="71.333333333333329"/>
    <s v="Average"/>
    <n v="93"/>
    <x v="0"/>
  </r>
  <r>
    <n v="131"/>
    <s v="Anu "/>
    <s v="Bangalore"/>
    <s v="South"/>
    <n v="88"/>
    <n v="76"/>
    <n v="58"/>
    <n v="0.98"/>
    <x v="3"/>
    <s v="BANGALORE"/>
    <n v="0.98"/>
    <s v="South"/>
    <n v="222"/>
    <n v="74"/>
    <s v="Average"/>
    <n v="98"/>
    <x v="0"/>
  </r>
  <r>
    <n v="132"/>
    <s v="Babu"/>
    <s v="Chennai"/>
    <s v="South"/>
    <n v="83"/>
    <n v="76"/>
    <n v="83"/>
    <n v="0.89"/>
    <x v="3"/>
    <s v="CHENNAI"/>
    <n v="0.89"/>
    <s v="South"/>
    <n v="242"/>
    <n v="80.666666666666671"/>
    <s v="Top"/>
    <n v="89"/>
    <x v="1"/>
  </r>
  <r>
    <n v="168"/>
    <s v="Chimtu"/>
    <s v="Bangalore"/>
    <s v="South"/>
    <n v="87"/>
    <n v="79"/>
    <n v="68"/>
    <n v="0.83"/>
    <x v="3"/>
    <s v="BANGALORE"/>
    <n v="0.83"/>
    <s v="South"/>
    <n v="234"/>
    <n v="78"/>
    <s v="Average"/>
    <n v="83"/>
    <x v="1"/>
  </r>
  <r>
    <n v="299"/>
    <s v="Trump"/>
    <s v="Bangalore"/>
    <s v="West"/>
    <n v="98"/>
    <n v="79"/>
    <n v="50"/>
    <n v="0.91"/>
    <x v="3"/>
    <s v="BANGALORE"/>
    <n v="0.91"/>
    <s v="South"/>
    <n v="227"/>
    <n v="75.666666666666671"/>
    <s v="Average"/>
    <n v="91"/>
    <x v="0"/>
  </r>
  <r>
    <n v="298"/>
    <s v="Rahul"/>
    <s v="HYDERABAD"/>
    <s v="South"/>
    <n v="79"/>
    <n v="89"/>
    <n v="50"/>
    <s v="Eighty Four"/>
    <x v="3"/>
    <s v="HYDERABAD"/>
    <n v="0.84"/>
    <s v="South"/>
    <n v="218"/>
    <n v="72.666666666666671"/>
    <s v="Average"/>
    <n v="84"/>
    <x v="1"/>
  </r>
  <r>
    <n v="277"/>
    <s v="Nithitha"/>
    <s v="PUNE"/>
    <s v="West"/>
    <n v="79"/>
    <n v="96"/>
    <n v="74"/>
    <n v="0.94"/>
    <x v="3"/>
    <s v="PUNE"/>
    <n v="0.94"/>
    <s v="West"/>
    <n v="249"/>
    <n v="83"/>
    <s v="Top"/>
    <n v="94"/>
    <x v="0"/>
  </r>
  <r>
    <n v="166"/>
    <s v="Rushagna"/>
    <s v="PUNE"/>
    <s v="South"/>
    <n v="93"/>
    <n v="82"/>
    <n v="69"/>
    <n v="0.79"/>
    <x v="3"/>
    <s v="PUNE"/>
    <n v="0.79"/>
    <s v="West"/>
    <n v="244"/>
    <n v="81.333333333333329"/>
    <s v="Top"/>
    <n v="79"/>
    <x v="2"/>
  </r>
  <r>
    <n v="287"/>
    <s v="Mani"/>
    <s v="Chennai"/>
    <s v="South"/>
    <n v="96"/>
    <n v="81"/>
    <n v="84"/>
    <n v="0.93"/>
    <x v="3"/>
    <s v="CHENNAI"/>
    <n v="0.93"/>
    <s v="South"/>
    <n v="261"/>
    <n v="87"/>
    <s v="Top"/>
    <n v="93"/>
    <x v="0"/>
  </r>
  <r>
    <n v="474"/>
    <s v="Akhil"/>
    <s v="HYDERABAD"/>
    <s v="West"/>
    <n v="76"/>
    <n v="90"/>
    <n v="93"/>
    <s v="Seventy Five"/>
    <x v="3"/>
    <s v="HYDERABAD"/>
    <n v="0.75"/>
    <s v="South"/>
    <n v="259"/>
    <n v="86.333333333333329"/>
    <s v="Top"/>
    <n v="75"/>
    <x v="2"/>
  </r>
  <r>
    <n v="164"/>
    <s v="Kim"/>
    <s v="Bangalore"/>
    <s v="South"/>
    <n v="85"/>
    <n v="69"/>
    <n v="94"/>
    <n v="0.8"/>
    <x v="3"/>
    <s v="BANGALORE"/>
    <n v="0.8"/>
    <s v="South"/>
    <n v="248"/>
    <n v="82.666666666666671"/>
    <s v="Top"/>
    <n v="80"/>
    <x v="1"/>
  </r>
  <r>
    <n v="267"/>
    <s v="Gani"/>
    <s v="HYDERABAD"/>
    <s v="West"/>
    <n v="69"/>
    <n v="70"/>
    <n v="84"/>
    <n v="0.9"/>
    <x v="3"/>
    <s v="HYDERABAD"/>
    <n v="0.9"/>
    <s v="South"/>
    <n v="223"/>
    <n v="74.333333333333329"/>
    <s v="Average"/>
    <n v="9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D63002-332F-4198-B754-0E98BCE72456}" name="PivotTable3" cacheId="10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B8" firstHeaderRow="1" firstDataRow="1" firstDataCol="1"/>
  <pivotFields count="15">
    <pivotField compact="0" outline="0" showAll="0"/>
    <pivotField compact="0" outline="0" showAll="0"/>
    <pivotField compact="0" outline="0" showAll="0">
      <items count="5">
        <item x="0"/>
        <item h="1" x="2"/>
        <item h="1" x="1"/>
        <item h="1" x="3"/>
        <item t="default"/>
      </items>
    </pivotField>
    <pivotField axis="axisRow" compact="0" outline="0" showAll="0">
      <items count="5">
        <item x="3"/>
        <item x="2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0"/>
        <item x="2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>
      <items count="48">
        <item x="17"/>
        <item x="29"/>
        <item x="3"/>
        <item x="41"/>
        <item x="21"/>
        <item x="19"/>
        <item x="38"/>
        <item x="7"/>
        <item x="18"/>
        <item x="9"/>
        <item x="20"/>
        <item x="30"/>
        <item x="14"/>
        <item x="4"/>
        <item x="36"/>
        <item x="39"/>
        <item x="28"/>
        <item x="31"/>
        <item x="33"/>
        <item x="16"/>
        <item x="35"/>
        <item x="37"/>
        <item x="12"/>
        <item x="8"/>
        <item x="32"/>
        <item x="24"/>
        <item x="22"/>
        <item x="15"/>
        <item x="5"/>
        <item x="23"/>
        <item x="34"/>
        <item x="2"/>
        <item x="13"/>
        <item x="0"/>
        <item x="25"/>
        <item x="10"/>
        <item x="42"/>
        <item x="27"/>
        <item x="6"/>
        <item x="46"/>
        <item x="43"/>
        <item x="1"/>
        <item x="40"/>
        <item x="11"/>
        <item x="45"/>
        <item x="44"/>
        <item x="26"/>
        <item t="default"/>
      </items>
    </pivotField>
    <pivotField compact="0" outline="0" showAll="0"/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Total Score" fld="12" subtotal="average" baseField="0" baseItem="0"/>
  </dataFields>
  <chartFormats count="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2A6799-B643-454A-A81F-4498E16F2146}" name="PivotTable4" cacheId="10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8" firstHeaderRow="1" firstDataRow="1" firstDataCol="1"/>
  <pivotFields count="15">
    <pivotField compact="0" outline="0" showAll="0"/>
    <pivotField compact="0" outline="0" showAll="0"/>
    <pivotField axis="axisRow" compact="0" outline="0" showAll="0">
      <items count="5"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ax of Total Score" fld="12" subtotal="max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65F971-669D-4309-8B54-1E4DD0F7AE07}" name="PivotTable5" cacheId="10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:C4" firstHeaderRow="0" firstDataRow="1" firstDataCol="0"/>
  <pivotFields count="15"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Average of Maths" fld="4" subtotal="average" baseField="0" baseItem="0"/>
    <dataField name="Average of Physics" fld="5" subtotal="average" baseField="0" baseItem="0"/>
    <dataField name="Average of Chemistry" fld="6" subtotal="average" baseField="0" baseItem="0"/>
  </dataFields>
  <chartFormats count="48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6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8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0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2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14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6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8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20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2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4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26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8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30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3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32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3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4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36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3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38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8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30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3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32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3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4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36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3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38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AE7018-991B-4BC6-9DB9-B4460AC65FD5}" name="PivotTable8" cacheId="10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8" firstHeaderRow="1" firstDataRow="1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5">
        <item x="3"/>
        <item x="2"/>
        <item x="1"/>
        <item x="0"/>
        <item t="default"/>
      </items>
    </pivotField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verage Score" fld="13" subtotal="average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915ADC-6CAE-4CF6-80FD-8D7AD39B0721}" name="PivotTable9" cacheId="10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8" firstHeaderRow="1" firstDataRow="1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2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verage Score" fld="13" subtotal="average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ity" xr10:uid="{A0197C06-8A24-4BE8-A804-E036B21BFF74}" sourceName="City">
  <pivotTables>
    <pivotTable tabId="4" name="PivotTable3"/>
  </pivotTables>
  <data>
    <tabular pivotCacheId="1444781327">
      <items count="4">
        <i x="0" s="1"/>
        <i x="2"/>
        <i x="1"/>
        <i x="3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Zone" xr10:uid="{5A5DBF7F-1726-4D20-BE41-87320BA8BF67}" sourceName="Zone">
  <pivotTables>
    <pivotTable tabId="4" name="PivotTable3"/>
  </pivotTables>
  <data>
    <tabular pivotCacheId="1444781327">
      <items count="4">
        <i x="3" s="1"/>
        <i x="2" s="1"/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Test_Name" xr10:uid="{2E1A6CA4-BE9D-4566-8525-6FE3CF97494E}" sourceName="Test_Name">
  <pivotTables>
    <pivotTable tabId="4" name="PivotTable3"/>
  </pivotTables>
  <data>
    <tabular pivotCacheId="1444781327">
      <items count="4">
        <i x="0" s="1"/>
        <i x="2" s="1"/>
        <i x="3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ity" xr10:uid="{3D564A07-185D-4C73-851F-B60724EABCF0}" cache="Slicer_City" caption="City" rowHeight="228600"/>
  <slicer name="Zone" xr10:uid="{6C52F7D3-3D16-4A15-A9B8-D7B7F70DD79E}" cache="Slicer_Zone" caption="Zone" rowHeight="228600"/>
  <slicer name="Test_Name" xr10:uid="{2896FC15-77EC-4006-BC91-020E7C35E2AC}" cache="Slicer_Test_Name" caption="Test_Name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0827B-68ED-4BAC-BC2B-D4670A451437}">
  <dimension ref="A3:B8"/>
  <sheetViews>
    <sheetView workbookViewId="0">
      <selection activeCell="H3" sqref="H3"/>
    </sheetView>
  </sheetViews>
  <sheetFormatPr defaultRowHeight="15"/>
  <cols>
    <col min="1" max="1" width="11.140625" bestFit="1" customWidth="1"/>
    <col min="2" max="2" width="20.42578125" bestFit="1" customWidth="1"/>
    <col min="3" max="48" width="4.140625" bestFit="1" customWidth="1"/>
    <col min="49" max="49" width="11.140625" bestFit="1" customWidth="1"/>
  </cols>
  <sheetData>
    <row r="3" spans="1:2">
      <c r="A3" s="7" t="s">
        <v>0</v>
      </c>
      <c r="B3" t="s">
        <v>1</v>
      </c>
    </row>
    <row r="4" spans="1:2">
      <c r="A4" t="s">
        <v>2</v>
      </c>
      <c r="B4" s="8">
        <v>239.66666666666666</v>
      </c>
    </row>
    <row r="5" spans="1:2">
      <c r="A5" t="s">
        <v>3</v>
      </c>
      <c r="B5" s="8">
        <v>208.77777777777777</v>
      </c>
    </row>
    <row r="6" spans="1:2">
      <c r="A6" t="s">
        <v>4</v>
      </c>
      <c r="B6" s="8">
        <v>222.20833333333334</v>
      </c>
    </row>
    <row r="7" spans="1:2">
      <c r="A7" t="s">
        <v>5</v>
      </c>
      <c r="B7" s="8">
        <v>207.0625</v>
      </c>
    </row>
    <row r="8" spans="1:2">
      <c r="A8" t="s">
        <v>6</v>
      </c>
      <c r="B8" s="8">
        <v>213.45454545454547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3FCDE-697C-429E-9EAB-32AA6DA7A04C}">
  <dimension ref="A3:B8"/>
  <sheetViews>
    <sheetView workbookViewId="0">
      <selection activeCell="K11" sqref="K11"/>
    </sheetView>
  </sheetViews>
  <sheetFormatPr defaultRowHeight="15"/>
  <cols>
    <col min="1" max="1" width="11.7109375" bestFit="1" customWidth="1"/>
    <col min="2" max="2" width="16.85546875" bestFit="1" customWidth="1"/>
  </cols>
  <sheetData>
    <row r="3" spans="1:2">
      <c r="A3" s="7" t="s">
        <v>7</v>
      </c>
      <c r="B3" t="s">
        <v>8</v>
      </c>
    </row>
    <row r="4" spans="1:2">
      <c r="A4" t="s">
        <v>9</v>
      </c>
      <c r="B4" s="8">
        <v>254</v>
      </c>
    </row>
    <row r="5" spans="1:2">
      <c r="A5" t="s">
        <v>10</v>
      </c>
      <c r="B5" s="8">
        <v>261</v>
      </c>
    </row>
    <row r="6" spans="1:2">
      <c r="A6" t="s">
        <v>11</v>
      </c>
      <c r="B6" s="8">
        <v>259</v>
      </c>
    </row>
    <row r="7" spans="1:2">
      <c r="A7" t="s">
        <v>12</v>
      </c>
      <c r="B7" s="8">
        <v>264</v>
      </c>
    </row>
    <row r="8" spans="1:2">
      <c r="A8" t="s">
        <v>6</v>
      </c>
      <c r="B8" s="8">
        <v>264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91D39-6558-4F1A-931A-DCB4DA731E83}">
  <dimension ref="A3:C4"/>
  <sheetViews>
    <sheetView topLeftCell="A2" workbookViewId="0">
      <selection activeCell="A3" sqref="A3"/>
    </sheetView>
  </sheetViews>
  <sheetFormatPr defaultRowHeight="15"/>
  <cols>
    <col min="1" max="1" width="15.85546875" bestFit="1" customWidth="1"/>
    <col min="2" max="2" width="17.28515625" bestFit="1" customWidth="1"/>
    <col min="3" max="3" width="19.7109375" bestFit="1" customWidth="1"/>
  </cols>
  <sheetData>
    <row r="3" spans="1:3">
      <c r="A3" t="s">
        <v>13</v>
      </c>
      <c r="B3" t="s">
        <v>14</v>
      </c>
      <c r="C3" t="s">
        <v>15</v>
      </c>
    </row>
    <row r="4" spans="1:3">
      <c r="A4" s="8">
        <v>73.16447368421052</v>
      </c>
      <c r="B4" s="8">
        <v>70.48026315789474</v>
      </c>
      <c r="C4" s="8">
        <v>72.828947368421055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7E1EE-E1EA-489A-BD33-0AC40A2D5038}">
  <dimension ref="A3:B8"/>
  <sheetViews>
    <sheetView workbookViewId="0">
      <selection activeCell="I27" sqref="I27"/>
    </sheetView>
  </sheetViews>
  <sheetFormatPr defaultRowHeight="15"/>
  <cols>
    <col min="1" max="1" width="20.5703125" bestFit="1" customWidth="1"/>
    <col min="2" max="2" width="23.140625" bestFit="1" customWidth="1"/>
  </cols>
  <sheetData>
    <row r="3" spans="1:2">
      <c r="A3" s="7" t="s">
        <v>16</v>
      </c>
      <c r="B3" t="s">
        <v>17</v>
      </c>
    </row>
    <row r="4" spans="1:2">
      <c r="A4">
        <v>60</v>
      </c>
      <c r="B4" s="8">
        <v>78</v>
      </c>
    </row>
    <row r="5" spans="1:2">
      <c r="A5">
        <v>70</v>
      </c>
      <c r="B5" s="8">
        <v>71.184210526315795</v>
      </c>
    </row>
    <row r="6" spans="1:2">
      <c r="A6">
        <v>80</v>
      </c>
      <c r="B6" s="8">
        <v>70.848958333333357</v>
      </c>
    </row>
    <row r="7" spans="1:2">
      <c r="A7">
        <v>90</v>
      </c>
      <c r="B7" s="8">
        <v>74.503401360544217</v>
      </c>
    </row>
    <row r="8" spans="1:2">
      <c r="A8" t="s">
        <v>6</v>
      </c>
      <c r="B8" s="8">
        <v>72.157894736842081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04171-EFDE-4258-9417-1875CBFBE4E5}">
  <dimension ref="B36:F36"/>
  <sheetViews>
    <sheetView tabSelected="1" workbookViewId="0">
      <selection activeCell="J5" sqref="J5"/>
    </sheetView>
  </sheetViews>
  <sheetFormatPr defaultRowHeight="15"/>
  <cols>
    <col min="2" max="2" width="17.7109375" bestFit="1" customWidth="1"/>
    <col min="4" max="4" width="17.7109375" bestFit="1" customWidth="1"/>
    <col min="6" max="6" width="17.7109375" bestFit="1" customWidth="1"/>
  </cols>
  <sheetData>
    <row r="36" spans="2:6" ht="24">
      <c r="B36" s="9"/>
      <c r="D36" s="9"/>
      <c r="F36" s="9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A5402-8EF8-4A09-9276-62FEB62D2152}">
  <dimension ref="A3:B8"/>
  <sheetViews>
    <sheetView workbookViewId="0">
      <selection activeCell="A7" sqref="A7"/>
    </sheetView>
  </sheetViews>
  <sheetFormatPr defaultRowHeight="15"/>
  <cols>
    <col min="1" max="1" width="13.85546875" customWidth="1"/>
    <col min="2" max="2" width="23.140625" bestFit="1" customWidth="1"/>
  </cols>
  <sheetData>
    <row r="3" spans="1:2">
      <c r="A3" s="7" t="s">
        <v>18</v>
      </c>
      <c r="B3" t="s">
        <v>17</v>
      </c>
    </row>
    <row r="4" spans="1:2">
      <c r="A4" t="s">
        <v>19</v>
      </c>
      <c r="B4" s="8">
        <v>73.394557823129261</v>
      </c>
    </row>
    <row r="5" spans="1:2">
      <c r="A5" t="s">
        <v>20</v>
      </c>
      <c r="B5" s="8">
        <v>70.261904761904773</v>
      </c>
    </row>
    <row r="6" spans="1:2">
      <c r="A6" t="s">
        <v>21</v>
      </c>
      <c r="B6" s="8">
        <v>72.627777777777752</v>
      </c>
    </row>
    <row r="7" spans="1:2">
      <c r="A7" t="s">
        <v>22</v>
      </c>
      <c r="B7" s="8">
        <v>63</v>
      </c>
    </row>
    <row r="8" spans="1:2">
      <c r="A8" t="s">
        <v>6</v>
      </c>
      <c r="B8" s="8">
        <v>72.157894736842081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48576"/>
  <sheetViews>
    <sheetView workbookViewId="0">
      <selection activeCell="E12" sqref="E12"/>
    </sheetView>
  </sheetViews>
  <sheetFormatPr defaultRowHeight="15"/>
  <cols>
    <col min="1" max="1" width="10" style="3" customWidth="1"/>
    <col min="2" max="2" width="12.28515625" style="3" customWidth="1"/>
    <col min="3" max="3" width="14" style="6" customWidth="1"/>
    <col min="4" max="7" width="9.140625" style="3"/>
    <col min="8" max="8" width="11" style="3" customWidth="1"/>
    <col min="9" max="9" width="10.42578125" style="3" bestFit="1" customWidth="1"/>
    <col min="10" max="10" width="23.42578125" style="3" bestFit="1" customWidth="1"/>
    <col min="11" max="11" width="19.5703125" style="3" bestFit="1" customWidth="1"/>
    <col min="12" max="12" width="12.85546875" style="3" bestFit="1" customWidth="1"/>
    <col min="13" max="13" width="16.42578125" style="3" customWidth="1"/>
    <col min="14" max="14" width="23" style="3" customWidth="1"/>
    <col min="15" max="15" width="20.7109375" style="3" bestFit="1" customWidth="1"/>
    <col min="16" max="16" width="18.85546875" bestFit="1" customWidth="1"/>
    <col min="17" max="17" width="17.42578125" bestFit="1" customWidth="1"/>
  </cols>
  <sheetData>
    <row r="1" spans="1:17" s="1" customFormat="1">
      <c r="A1" s="2" t="s">
        <v>23</v>
      </c>
      <c r="B1" s="2" t="s">
        <v>24</v>
      </c>
      <c r="C1" s="2" t="s">
        <v>7</v>
      </c>
      <c r="D1" s="2" t="s">
        <v>0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18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1" t="s">
        <v>35</v>
      </c>
      <c r="Q1" s="1" t="s">
        <v>16</v>
      </c>
    </row>
    <row r="2" spans="1:17">
      <c r="A2" s="3">
        <v>101</v>
      </c>
      <c r="B2" s="3" t="s">
        <v>36</v>
      </c>
      <c r="C2" s="6" t="s">
        <v>9</v>
      </c>
      <c r="D2" s="3" t="s">
        <v>4</v>
      </c>
      <c r="E2" s="3">
        <v>78</v>
      </c>
      <c r="F2" s="3">
        <v>74</v>
      </c>
      <c r="G2" s="3">
        <v>86</v>
      </c>
      <c r="H2" s="4">
        <v>0.9</v>
      </c>
      <c r="I2" s="3" t="s">
        <v>19</v>
      </c>
      <c r="J2" s="3" t="str">
        <f>UPPER(C6)</f>
        <v>BANGALORE</v>
      </c>
      <c r="K2" s="3">
        <f>VALUE(SUBSTITUTE(H2,"%",""))</f>
        <v>0.9</v>
      </c>
      <c r="L2" s="3" t="str">
        <f>VLOOKUP(C2, Mapping!A:B, 2, FALSE)</f>
        <v>South</v>
      </c>
      <c r="M2" s="3">
        <f>E2 + F2 + G2</f>
        <v>238</v>
      </c>
      <c r="N2" s="3">
        <f>AVERAGE(E2, F2, G2)</f>
        <v>79.333333333333329</v>
      </c>
      <c r="O2" s="3" t="str">
        <f>IF(N2&gt;80,"Top",IF(N2&gt;60,"Average","Low"))</f>
        <v>Average</v>
      </c>
      <c r="P2">
        <f>K2*100</f>
        <v>90</v>
      </c>
      <c r="Q2">
        <f>FLOOR(P2,10)</f>
        <v>90</v>
      </c>
    </row>
    <row r="3" spans="1:17">
      <c r="A3" s="3">
        <v>102</v>
      </c>
      <c r="B3" s="3" t="s">
        <v>37</v>
      </c>
      <c r="C3" s="6" t="s">
        <v>11</v>
      </c>
      <c r="D3" s="3" t="s">
        <v>5</v>
      </c>
      <c r="E3" s="3">
        <v>90</v>
      </c>
      <c r="F3" s="3">
        <v>86</v>
      </c>
      <c r="G3" s="3">
        <v>74</v>
      </c>
      <c r="H3" s="4">
        <v>0.82</v>
      </c>
      <c r="I3" s="3" t="s">
        <v>19</v>
      </c>
      <c r="J3" s="3" t="str">
        <f>UPPER(C3)</f>
        <v>HYDERABAD</v>
      </c>
      <c r="K3" s="3">
        <f>VALUE(SUBSTITUTE(H3,"%",""))</f>
        <v>0.82</v>
      </c>
      <c r="L3" s="3" t="str">
        <f>VLOOKUP(C3, Mapping!A:B, 2, FALSE)</f>
        <v>South</v>
      </c>
      <c r="M3" s="3">
        <f t="shared" ref="M3:M66" si="0">E3 + F3 + G3</f>
        <v>250</v>
      </c>
      <c r="N3" s="3">
        <f t="shared" ref="N3:N66" si="1">AVERAGE(E3, F3, G3)</f>
        <v>83.333333333333329</v>
      </c>
      <c r="O3" s="3" t="str">
        <f t="shared" ref="O3:O66" si="2">IF(N3&gt;80,"Top",IF(N3&gt;60,"Average","Low"))</f>
        <v>Top</v>
      </c>
      <c r="P3">
        <f t="shared" ref="P3:P66" si="3">K3*100</f>
        <v>82</v>
      </c>
      <c r="Q3">
        <f t="shared" ref="Q3:Q66" si="4">FLOOR(P3,10)</f>
        <v>80</v>
      </c>
    </row>
    <row r="4" spans="1:17">
      <c r="A4" s="3">
        <v>103</v>
      </c>
      <c r="B4" s="3" t="s">
        <v>38</v>
      </c>
      <c r="C4" s="6" t="s">
        <v>11</v>
      </c>
      <c r="D4" s="3" t="s">
        <v>5</v>
      </c>
      <c r="E4" s="3">
        <v>66</v>
      </c>
      <c r="F4" s="3">
        <v>78</v>
      </c>
      <c r="G4" s="3">
        <v>90</v>
      </c>
      <c r="H4" s="4" t="s">
        <v>39</v>
      </c>
      <c r="I4" s="3" t="s">
        <v>19</v>
      </c>
      <c r="J4" s="3" t="str">
        <f>UPPER(C4)</f>
        <v>HYDERABAD</v>
      </c>
      <c r="K4" s="3">
        <v>0.79</v>
      </c>
      <c r="L4" s="3" t="str">
        <f>VLOOKUP(C4, Mapping!A:B, 2, FALSE)</f>
        <v>South</v>
      </c>
      <c r="M4" s="3">
        <f t="shared" si="0"/>
        <v>234</v>
      </c>
      <c r="N4" s="3">
        <f t="shared" si="1"/>
        <v>78</v>
      </c>
      <c r="O4" s="3" t="str">
        <f t="shared" si="2"/>
        <v>Average</v>
      </c>
      <c r="P4">
        <f t="shared" si="3"/>
        <v>79</v>
      </c>
      <c r="Q4">
        <f t="shared" si="4"/>
        <v>70</v>
      </c>
    </row>
    <row r="5" spans="1:17">
      <c r="A5" s="3">
        <v>104</v>
      </c>
      <c r="B5" s="3" t="s">
        <v>40</v>
      </c>
      <c r="C5" s="6" t="s">
        <v>9</v>
      </c>
      <c r="D5" s="3" t="s">
        <v>3</v>
      </c>
      <c r="E5" s="3">
        <v>52</v>
      </c>
      <c r="F5" s="3">
        <v>59</v>
      </c>
      <c r="G5" s="3">
        <v>78</v>
      </c>
      <c r="H5" s="4">
        <v>0.87</v>
      </c>
      <c r="I5" s="3" t="s">
        <v>19</v>
      </c>
      <c r="J5" s="3" t="str">
        <f>UPPER(C6)</f>
        <v>BANGALORE</v>
      </c>
      <c r="K5" s="3">
        <v>0.87</v>
      </c>
      <c r="L5" s="3" t="str">
        <f>VLOOKUP(C5, Mapping!A:B, 2, FALSE)</f>
        <v>South</v>
      </c>
      <c r="M5" s="3">
        <f t="shared" si="0"/>
        <v>189</v>
      </c>
      <c r="N5" s="3">
        <f t="shared" si="1"/>
        <v>63</v>
      </c>
      <c r="O5" s="3" t="str">
        <f t="shared" si="2"/>
        <v>Average</v>
      </c>
      <c r="P5">
        <f t="shared" si="3"/>
        <v>87</v>
      </c>
      <c r="Q5">
        <f t="shared" si="4"/>
        <v>80</v>
      </c>
    </row>
    <row r="6" spans="1:17">
      <c r="A6" s="3">
        <v>105</v>
      </c>
      <c r="B6" s="3" t="s">
        <v>41</v>
      </c>
      <c r="C6" s="6" t="s">
        <v>42</v>
      </c>
      <c r="D6" s="3" t="s">
        <v>4</v>
      </c>
      <c r="E6" s="3">
        <v>59</v>
      </c>
      <c r="F6" s="3">
        <v>90</v>
      </c>
      <c r="G6" s="3">
        <v>59</v>
      </c>
      <c r="H6" s="4">
        <v>0.85</v>
      </c>
      <c r="I6" s="3" t="s">
        <v>19</v>
      </c>
      <c r="J6" s="3" t="str">
        <f>UPPER(C6)</f>
        <v>BANGALORE</v>
      </c>
      <c r="K6" s="3">
        <v>0.85</v>
      </c>
      <c r="L6" s="3" t="str">
        <f>VLOOKUP(C6, Mapping!A:B, 2, FALSE)</f>
        <v>South</v>
      </c>
      <c r="M6" s="3">
        <f t="shared" si="0"/>
        <v>208</v>
      </c>
      <c r="N6" s="3">
        <f t="shared" si="1"/>
        <v>69.333333333333329</v>
      </c>
      <c r="O6" s="3" t="str">
        <f t="shared" si="2"/>
        <v>Average</v>
      </c>
      <c r="P6">
        <f t="shared" si="3"/>
        <v>85</v>
      </c>
      <c r="Q6">
        <f t="shared" si="4"/>
        <v>80</v>
      </c>
    </row>
    <row r="7" spans="1:17">
      <c r="A7" s="3">
        <v>106</v>
      </c>
      <c r="B7" s="3" t="s">
        <v>43</v>
      </c>
      <c r="C7" s="6" t="s">
        <v>10</v>
      </c>
      <c r="D7" s="3" t="s">
        <v>2</v>
      </c>
      <c r="E7" s="3">
        <v>86</v>
      </c>
      <c r="F7" s="3">
        <v>78</v>
      </c>
      <c r="G7" s="3">
        <v>66</v>
      </c>
      <c r="H7" s="4">
        <v>0.79</v>
      </c>
      <c r="I7" s="3" t="s">
        <v>19</v>
      </c>
      <c r="J7" s="3" t="str">
        <f>UPPER(C7)</f>
        <v>CHENNAI</v>
      </c>
      <c r="K7" s="3">
        <v>0.79</v>
      </c>
      <c r="L7" s="3" t="str">
        <f>VLOOKUP(C7, Mapping!A:B, 2, FALSE)</f>
        <v>South</v>
      </c>
      <c r="M7" s="3">
        <f t="shared" si="0"/>
        <v>230</v>
      </c>
      <c r="N7" s="3">
        <f t="shared" si="1"/>
        <v>76.666666666666671</v>
      </c>
      <c r="O7" s="3" t="str">
        <f t="shared" si="2"/>
        <v>Average</v>
      </c>
      <c r="P7">
        <f t="shared" si="3"/>
        <v>79</v>
      </c>
      <c r="Q7">
        <f t="shared" si="4"/>
        <v>70</v>
      </c>
    </row>
    <row r="8" spans="1:17">
      <c r="A8" s="3">
        <v>107</v>
      </c>
      <c r="B8" s="3" t="s">
        <v>44</v>
      </c>
      <c r="C8" s="6" t="s">
        <v>9</v>
      </c>
      <c r="D8" s="3" t="s">
        <v>4</v>
      </c>
      <c r="E8" s="3">
        <v>90</v>
      </c>
      <c r="F8" s="3">
        <v>66</v>
      </c>
      <c r="G8" s="3">
        <v>90</v>
      </c>
      <c r="H8" s="4" t="s">
        <v>45</v>
      </c>
      <c r="I8" s="3" t="s">
        <v>19</v>
      </c>
      <c r="J8" s="3" t="str">
        <f>UPPER(C8)</f>
        <v>BANGALORE</v>
      </c>
      <c r="K8" s="3">
        <v>0.85</v>
      </c>
      <c r="L8" s="3" t="str">
        <f>VLOOKUP(C8, Mapping!A:B, 2, FALSE)</f>
        <v>South</v>
      </c>
      <c r="M8" s="3">
        <f t="shared" si="0"/>
        <v>246</v>
      </c>
      <c r="N8" s="3">
        <f t="shared" si="1"/>
        <v>82</v>
      </c>
      <c r="O8" s="3" t="str">
        <f t="shared" si="2"/>
        <v>Top</v>
      </c>
      <c r="P8">
        <f t="shared" si="3"/>
        <v>85</v>
      </c>
      <c r="Q8">
        <f t="shared" si="4"/>
        <v>80</v>
      </c>
    </row>
    <row r="9" spans="1:17">
      <c r="A9" s="3">
        <v>108</v>
      </c>
      <c r="B9" s="3" t="s">
        <v>46</v>
      </c>
      <c r="C9" s="6" t="s">
        <v>47</v>
      </c>
      <c r="D9" s="3" t="s">
        <v>5</v>
      </c>
      <c r="E9" s="3">
        <v>59</v>
      </c>
      <c r="F9" s="3">
        <v>66</v>
      </c>
      <c r="G9" s="3">
        <v>74</v>
      </c>
      <c r="H9" s="4">
        <v>0.82</v>
      </c>
      <c r="I9" s="3" t="s">
        <v>19</v>
      </c>
      <c r="J9" s="3" t="str">
        <f>UPPER(C9)</f>
        <v>HYDERABAD</v>
      </c>
      <c r="K9" s="3">
        <v>0.82</v>
      </c>
      <c r="L9" s="3" t="str">
        <f>VLOOKUP(C9, Mapping!A:B, 2, FALSE)</f>
        <v>South</v>
      </c>
      <c r="M9" s="3">
        <f t="shared" si="0"/>
        <v>199</v>
      </c>
      <c r="N9" s="3">
        <f t="shared" si="1"/>
        <v>66.333333333333329</v>
      </c>
      <c r="O9" s="3" t="str">
        <f t="shared" si="2"/>
        <v>Average</v>
      </c>
      <c r="P9">
        <f t="shared" si="3"/>
        <v>82</v>
      </c>
      <c r="Q9">
        <f t="shared" si="4"/>
        <v>80</v>
      </c>
    </row>
    <row r="10" spans="1:17">
      <c r="A10" s="3">
        <v>109</v>
      </c>
      <c r="B10" s="3" t="s">
        <v>48</v>
      </c>
      <c r="C10" s="6" t="s">
        <v>42</v>
      </c>
      <c r="D10" s="3" t="s">
        <v>2</v>
      </c>
      <c r="E10" s="3">
        <v>78</v>
      </c>
      <c r="F10" s="3">
        <v>86</v>
      </c>
      <c r="G10" s="3">
        <v>59</v>
      </c>
      <c r="H10" s="4" t="s">
        <v>39</v>
      </c>
      <c r="I10" s="3" t="s">
        <v>19</v>
      </c>
      <c r="J10" s="3" t="str">
        <f>UPPER(C10)</f>
        <v>BANGALORE</v>
      </c>
      <c r="K10" s="3">
        <v>0.79</v>
      </c>
      <c r="L10" s="3" t="str">
        <f>VLOOKUP(C10, Mapping!A:B, 2, FALSE)</f>
        <v>South</v>
      </c>
      <c r="M10" s="3">
        <f t="shared" si="0"/>
        <v>223</v>
      </c>
      <c r="N10" s="3">
        <f t="shared" si="1"/>
        <v>74.333333333333329</v>
      </c>
      <c r="O10" s="3" t="str">
        <f t="shared" si="2"/>
        <v>Average</v>
      </c>
      <c r="P10">
        <f t="shared" si="3"/>
        <v>79</v>
      </c>
      <c r="Q10">
        <f t="shared" si="4"/>
        <v>70</v>
      </c>
    </row>
    <row r="11" spans="1:17">
      <c r="A11" s="3">
        <v>119</v>
      </c>
      <c r="B11" s="3" t="s">
        <v>49</v>
      </c>
      <c r="C11" s="6" t="s">
        <v>9</v>
      </c>
      <c r="D11" s="3" t="s">
        <v>5</v>
      </c>
      <c r="E11" s="3">
        <v>66</v>
      </c>
      <c r="F11" s="3">
        <v>59</v>
      </c>
      <c r="G11" s="3">
        <v>78</v>
      </c>
      <c r="H11" s="4">
        <v>0.9</v>
      </c>
      <c r="I11" s="3" t="s">
        <v>19</v>
      </c>
      <c r="J11" s="3" t="str">
        <f>UPPER(C11)</f>
        <v>BANGALORE</v>
      </c>
      <c r="K11" s="3">
        <v>0.9</v>
      </c>
      <c r="L11" s="3" t="str">
        <f>VLOOKUP(C11, Mapping!A:B, 2, FALSE)</f>
        <v>South</v>
      </c>
      <c r="M11" s="3">
        <f t="shared" si="0"/>
        <v>203</v>
      </c>
      <c r="N11" s="3">
        <f t="shared" si="1"/>
        <v>67.666666666666671</v>
      </c>
      <c r="O11" s="3" t="str">
        <f t="shared" si="2"/>
        <v>Average</v>
      </c>
      <c r="P11">
        <f t="shared" si="3"/>
        <v>90</v>
      </c>
      <c r="Q11">
        <f t="shared" si="4"/>
        <v>90</v>
      </c>
    </row>
    <row r="12" spans="1:17">
      <c r="A12" s="3">
        <v>111</v>
      </c>
      <c r="B12" s="3" t="s">
        <v>50</v>
      </c>
      <c r="C12" s="6" t="s">
        <v>9</v>
      </c>
      <c r="D12" s="3" t="s">
        <v>5</v>
      </c>
      <c r="E12" s="3">
        <v>86</v>
      </c>
      <c r="F12" s="3">
        <v>90</v>
      </c>
      <c r="G12" s="3">
        <v>66</v>
      </c>
      <c r="H12" s="4" t="s">
        <v>51</v>
      </c>
      <c r="I12" s="3" t="s">
        <v>19</v>
      </c>
      <c r="J12" s="3" t="str">
        <f>UPPER(C6)</f>
        <v>BANGALORE</v>
      </c>
      <c r="K12" s="3">
        <v>0.92</v>
      </c>
      <c r="L12" s="3" t="str">
        <f>VLOOKUP(C12, Mapping!A:B, 2, FALSE)</f>
        <v>South</v>
      </c>
      <c r="M12" s="3">
        <f t="shared" si="0"/>
        <v>242</v>
      </c>
      <c r="N12" s="3">
        <f t="shared" si="1"/>
        <v>80.666666666666671</v>
      </c>
      <c r="O12" s="3" t="str">
        <f t="shared" si="2"/>
        <v>Top</v>
      </c>
      <c r="P12">
        <f t="shared" si="3"/>
        <v>92</v>
      </c>
      <c r="Q12">
        <f t="shared" si="4"/>
        <v>90</v>
      </c>
    </row>
    <row r="13" spans="1:17">
      <c r="A13" s="3">
        <v>112</v>
      </c>
      <c r="B13" s="3" t="s">
        <v>52</v>
      </c>
      <c r="C13" s="6" t="s">
        <v>10</v>
      </c>
      <c r="D13" s="3" t="s">
        <v>4</v>
      </c>
      <c r="E13" s="3">
        <v>90</v>
      </c>
      <c r="F13" s="3">
        <v>66</v>
      </c>
      <c r="G13" s="3">
        <v>90</v>
      </c>
      <c r="H13" s="4">
        <v>0.85</v>
      </c>
      <c r="I13" s="3" t="s">
        <v>19</v>
      </c>
      <c r="J13" s="3" t="str">
        <f>UPPER(C13)</f>
        <v>CHENNAI</v>
      </c>
      <c r="K13" s="3">
        <v>0.85</v>
      </c>
      <c r="L13" s="3" t="str">
        <f>VLOOKUP(C13, Mapping!A:B, 2, FALSE)</f>
        <v>South</v>
      </c>
      <c r="M13" s="3">
        <f t="shared" si="0"/>
        <v>246</v>
      </c>
      <c r="N13" s="3">
        <f t="shared" si="1"/>
        <v>82</v>
      </c>
      <c r="O13" s="3" t="str">
        <f t="shared" si="2"/>
        <v>Top</v>
      </c>
      <c r="P13">
        <f t="shared" si="3"/>
        <v>85</v>
      </c>
      <c r="Q13">
        <f t="shared" si="4"/>
        <v>80</v>
      </c>
    </row>
    <row r="14" spans="1:17">
      <c r="A14" s="3">
        <v>113</v>
      </c>
      <c r="B14" s="3" t="s">
        <v>53</v>
      </c>
      <c r="C14" s="6" t="s">
        <v>10</v>
      </c>
      <c r="D14" s="3" t="s">
        <v>5</v>
      </c>
      <c r="E14" s="3">
        <v>59</v>
      </c>
      <c r="F14" s="3">
        <v>78</v>
      </c>
      <c r="G14" s="3">
        <v>86</v>
      </c>
      <c r="H14" s="4">
        <v>0.79</v>
      </c>
      <c r="I14" s="3" t="s">
        <v>19</v>
      </c>
      <c r="J14" s="3" t="str">
        <f>UPPER(C14)</f>
        <v>CHENNAI</v>
      </c>
      <c r="K14" s="3">
        <v>0.79</v>
      </c>
      <c r="L14" s="3" t="str">
        <f>VLOOKUP(C14, Mapping!A:B, 2, FALSE)</f>
        <v>South</v>
      </c>
      <c r="M14" s="3">
        <f t="shared" si="0"/>
        <v>223</v>
      </c>
      <c r="N14" s="3">
        <f t="shared" si="1"/>
        <v>74.333333333333329</v>
      </c>
      <c r="O14" s="3" t="str">
        <f t="shared" si="2"/>
        <v>Average</v>
      </c>
      <c r="P14">
        <f t="shared" si="3"/>
        <v>79</v>
      </c>
      <c r="Q14">
        <f t="shared" si="4"/>
        <v>70</v>
      </c>
    </row>
    <row r="15" spans="1:17">
      <c r="A15" s="3">
        <v>114</v>
      </c>
      <c r="B15" s="3" t="s">
        <v>54</v>
      </c>
      <c r="C15" s="6" t="s">
        <v>9</v>
      </c>
      <c r="D15" s="3" t="s">
        <v>3</v>
      </c>
      <c r="E15" s="3">
        <v>66</v>
      </c>
      <c r="F15" s="3">
        <v>74</v>
      </c>
      <c r="G15" s="3">
        <v>59</v>
      </c>
      <c r="H15" s="4">
        <v>0.95</v>
      </c>
      <c r="I15" s="3" t="s">
        <v>19</v>
      </c>
      <c r="J15" s="3" t="str">
        <f>UPPER(C15)</f>
        <v>BANGALORE</v>
      </c>
      <c r="K15" s="3">
        <v>0.95</v>
      </c>
      <c r="L15" s="3" t="str">
        <f>VLOOKUP(C15, Mapping!A:B, 2, FALSE)</f>
        <v>South</v>
      </c>
      <c r="M15" s="3">
        <f t="shared" si="0"/>
        <v>199</v>
      </c>
      <c r="N15" s="3">
        <f t="shared" si="1"/>
        <v>66.333333333333329</v>
      </c>
      <c r="O15" s="3" t="str">
        <f t="shared" si="2"/>
        <v>Average</v>
      </c>
      <c r="P15">
        <f t="shared" si="3"/>
        <v>95</v>
      </c>
      <c r="Q15">
        <f t="shared" si="4"/>
        <v>90</v>
      </c>
    </row>
    <row r="16" spans="1:17">
      <c r="A16" s="3">
        <v>115</v>
      </c>
      <c r="B16" s="3" t="s">
        <v>55</v>
      </c>
      <c r="C16" s="6" t="s">
        <v>10</v>
      </c>
      <c r="D16" s="3" t="s">
        <v>5</v>
      </c>
      <c r="E16" s="3">
        <v>86</v>
      </c>
      <c r="F16" s="3">
        <v>90</v>
      </c>
      <c r="G16" s="3">
        <v>78</v>
      </c>
      <c r="H16" s="4">
        <v>0.85</v>
      </c>
      <c r="I16" s="3" t="s">
        <v>19</v>
      </c>
      <c r="J16" s="3" t="str">
        <f>UPPER(C16)</f>
        <v>CHENNAI</v>
      </c>
      <c r="K16" s="3">
        <v>0.85</v>
      </c>
      <c r="L16" s="3" t="str">
        <f>VLOOKUP(C16, Mapping!A:B, 2, FALSE)</f>
        <v>South</v>
      </c>
      <c r="M16" s="3">
        <f t="shared" si="0"/>
        <v>254</v>
      </c>
      <c r="N16" s="3">
        <f t="shared" si="1"/>
        <v>84.666666666666671</v>
      </c>
      <c r="O16" s="3" t="str">
        <f t="shared" si="2"/>
        <v>Top</v>
      </c>
      <c r="P16">
        <f t="shared" si="3"/>
        <v>85</v>
      </c>
      <c r="Q16">
        <f t="shared" si="4"/>
        <v>80</v>
      </c>
    </row>
    <row r="17" spans="1:17">
      <c r="A17" s="3">
        <v>116</v>
      </c>
      <c r="B17" s="3" t="s">
        <v>56</v>
      </c>
      <c r="C17" s="6" t="s">
        <v>9</v>
      </c>
      <c r="D17" s="3" t="s">
        <v>4</v>
      </c>
      <c r="E17" s="3">
        <v>78</v>
      </c>
      <c r="F17" s="3">
        <v>86</v>
      </c>
      <c r="G17" s="3">
        <v>86</v>
      </c>
      <c r="H17" s="4">
        <v>0.82</v>
      </c>
      <c r="I17" s="3" t="s">
        <v>19</v>
      </c>
      <c r="J17" s="3" t="str">
        <f>UPPER(C6)</f>
        <v>BANGALORE</v>
      </c>
      <c r="K17" s="3">
        <v>0.82</v>
      </c>
      <c r="L17" s="3" t="str">
        <f>VLOOKUP(C17, Mapping!A:B, 2, FALSE)</f>
        <v>South</v>
      </c>
      <c r="M17" s="3">
        <f t="shared" si="0"/>
        <v>250</v>
      </c>
      <c r="N17" s="3">
        <f t="shared" si="1"/>
        <v>83.333333333333329</v>
      </c>
      <c r="O17" s="3" t="str">
        <f t="shared" si="2"/>
        <v>Top</v>
      </c>
      <c r="P17">
        <f t="shared" si="3"/>
        <v>82</v>
      </c>
      <c r="Q17">
        <f t="shared" si="4"/>
        <v>80</v>
      </c>
    </row>
    <row r="18" spans="1:17">
      <c r="A18" s="3">
        <v>106</v>
      </c>
      <c r="B18" s="3" t="s">
        <v>57</v>
      </c>
      <c r="C18" s="6" t="s">
        <v>9</v>
      </c>
      <c r="D18" s="3" t="s">
        <v>3</v>
      </c>
      <c r="E18" s="3">
        <v>90</v>
      </c>
      <c r="F18" s="3">
        <v>66</v>
      </c>
      <c r="G18" s="3">
        <v>66</v>
      </c>
      <c r="H18" s="4" t="s">
        <v>45</v>
      </c>
      <c r="I18" s="3" t="s">
        <v>19</v>
      </c>
      <c r="J18" s="3" t="str">
        <f>UPPER(C18)</f>
        <v>BANGALORE</v>
      </c>
      <c r="K18" s="3">
        <v>0.85</v>
      </c>
      <c r="L18" s="3" t="str">
        <f>VLOOKUP(C18, Mapping!A:B, 2, FALSE)</f>
        <v>South</v>
      </c>
      <c r="M18" s="3">
        <f t="shared" si="0"/>
        <v>222</v>
      </c>
      <c r="N18" s="3">
        <f t="shared" si="1"/>
        <v>74</v>
      </c>
      <c r="O18" s="3" t="str">
        <f t="shared" si="2"/>
        <v>Average</v>
      </c>
      <c r="P18">
        <f t="shared" si="3"/>
        <v>85</v>
      </c>
      <c r="Q18">
        <f t="shared" si="4"/>
        <v>80</v>
      </c>
    </row>
    <row r="19" spans="1:17">
      <c r="A19" s="3">
        <v>118</v>
      </c>
      <c r="B19" s="3" t="s">
        <v>58</v>
      </c>
      <c r="C19" s="6" t="s">
        <v>9</v>
      </c>
      <c r="D19" s="3" t="s">
        <v>5</v>
      </c>
      <c r="E19" s="3">
        <v>59</v>
      </c>
      <c r="F19" s="3">
        <v>86</v>
      </c>
      <c r="G19" s="3">
        <v>90</v>
      </c>
      <c r="H19" s="4">
        <v>0.95</v>
      </c>
      <c r="I19" s="3" t="s">
        <v>19</v>
      </c>
      <c r="J19" s="3" t="str">
        <f>UPPER(C19)</f>
        <v>BANGALORE</v>
      </c>
      <c r="K19" s="3">
        <v>0.95</v>
      </c>
      <c r="L19" s="3" t="str">
        <f>VLOOKUP(C19, Mapping!A:B, 2, FALSE)</f>
        <v>South</v>
      </c>
      <c r="M19" s="3">
        <f t="shared" si="0"/>
        <v>235</v>
      </c>
      <c r="N19" s="3">
        <f t="shared" si="1"/>
        <v>78.333333333333329</v>
      </c>
      <c r="O19" s="3" t="str">
        <f t="shared" si="2"/>
        <v>Average</v>
      </c>
      <c r="P19">
        <f t="shared" si="3"/>
        <v>95</v>
      </c>
      <c r="Q19">
        <f>FLOOR(P19,10)</f>
        <v>90</v>
      </c>
    </row>
    <row r="20" spans="1:17">
      <c r="A20" s="3">
        <v>119</v>
      </c>
      <c r="B20" s="3" t="s">
        <v>59</v>
      </c>
      <c r="C20" s="6" t="s">
        <v>47</v>
      </c>
      <c r="D20" s="3" t="s">
        <v>2</v>
      </c>
      <c r="E20" s="3">
        <v>66</v>
      </c>
      <c r="F20" s="3">
        <v>59</v>
      </c>
      <c r="G20" s="3">
        <v>78</v>
      </c>
      <c r="H20" s="4">
        <v>0.87</v>
      </c>
      <c r="I20" s="3" t="s">
        <v>19</v>
      </c>
      <c r="J20" s="3" t="str">
        <f>UPPER(C20)</f>
        <v>HYDERABAD</v>
      </c>
      <c r="K20" s="3">
        <v>0.87</v>
      </c>
      <c r="L20" s="3" t="str">
        <f>VLOOKUP(C20, Mapping!A:B, 2, FALSE)</f>
        <v>South</v>
      </c>
      <c r="M20" s="3">
        <f t="shared" si="0"/>
        <v>203</v>
      </c>
      <c r="N20" s="3">
        <f t="shared" si="1"/>
        <v>67.666666666666671</v>
      </c>
      <c r="O20" s="3" t="str">
        <f>IF(N20&gt;80,"Top",IF(N20&gt;60,"Average","Low"))</f>
        <v>Average</v>
      </c>
      <c r="P20">
        <f t="shared" si="3"/>
        <v>87</v>
      </c>
      <c r="Q20">
        <f t="shared" si="4"/>
        <v>80</v>
      </c>
    </row>
    <row r="21" spans="1:17">
      <c r="A21" s="3">
        <v>120</v>
      </c>
      <c r="B21" s="3" t="s">
        <v>60</v>
      </c>
      <c r="C21" s="6" t="s">
        <v>42</v>
      </c>
      <c r="D21" s="3" t="s">
        <v>5</v>
      </c>
      <c r="E21" s="3">
        <v>74</v>
      </c>
      <c r="F21" s="3">
        <v>74</v>
      </c>
      <c r="G21" s="3">
        <v>59</v>
      </c>
      <c r="H21" s="4" t="s">
        <v>51</v>
      </c>
      <c r="I21" s="3" t="s">
        <v>19</v>
      </c>
      <c r="J21" s="3" t="str">
        <f>UPPER(C21)</f>
        <v>BANGALORE</v>
      </c>
      <c r="K21" s="3">
        <v>0.92</v>
      </c>
      <c r="L21" s="3" t="str">
        <f>VLOOKUP(C21, Mapping!A:B, 2, FALSE)</f>
        <v>South</v>
      </c>
      <c r="M21" s="3">
        <f t="shared" si="0"/>
        <v>207</v>
      </c>
      <c r="N21" s="3">
        <f t="shared" si="1"/>
        <v>69</v>
      </c>
      <c r="O21" s="3" t="str">
        <f t="shared" si="2"/>
        <v>Average</v>
      </c>
      <c r="P21">
        <f t="shared" si="3"/>
        <v>92</v>
      </c>
      <c r="Q21">
        <f t="shared" si="4"/>
        <v>90</v>
      </c>
    </row>
    <row r="22" spans="1:17">
      <c r="A22" s="3">
        <v>121</v>
      </c>
      <c r="B22" s="3" t="s">
        <v>61</v>
      </c>
      <c r="C22" s="6" t="s">
        <v>10</v>
      </c>
      <c r="D22" s="3" t="s">
        <v>3</v>
      </c>
      <c r="E22" s="3">
        <v>90</v>
      </c>
      <c r="F22" s="3">
        <v>78</v>
      </c>
      <c r="G22" s="3">
        <v>66</v>
      </c>
      <c r="H22" s="4">
        <v>0.79</v>
      </c>
      <c r="I22" s="3" t="s">
        <v>19</v>
      </c>
      <c r="J22" s="3" t="str">
        <f>UPPER(C22)</f>
        <v>CHENNAI</v>
      </c>
      <c r="K22" s="3">
        <v>0.79</v>
      </c>
      <c r="L22" s="3" t="str">
        <f>VLOOKUP(C22, Mapping!A:B, 2, FALSE)</f>
        <v>South</v>
      </c>
      <c r="M22" s="3">
        <f t="shared" si="0"/>
        <v>234</v>
      </c>
      <c r="N22" s="3">
        <f t="shared" si="1"/>
        <v>78</v>
      </c>
      <c r="O22" s="3" t="str">
        <f t="shared" si="2"/>
        <v>Average</v>
      </c>
      <c r="P22">
        <f t="shared" si="3"/>
        <v>79</v>
      </c>
      <c r="Q22">
        <f t="shared" si="4"/>
        <v>70</v>
      </c>
    </row>
    <row r="23" spans="1:17">
      <c r="A23" s="3">
        <v>106</v>
      </c>
      <c r="B23" s="3" t="s">
        <v>62</v>
      </c>
      <c r="C23" s="6" t="s">
        <v>9</v>
      </c>
      <c r="D23" s="3" t="s">
        <v>5</v>
      </c>
      <c r="E23" s="3">
        <v>86</v>
      </c>
      <c r="F23" s="3">
        <v>52</v>
      </c>
      <c r="G23" s="3">
        <v>90</v>
      </c>
      <c r="H23" s="4">
        <v>0.85</v>
      </c>
      <c r="I23" s="3" t="s">
        <v>19</v>
      </c>
      <c r="J23" s="3" t="str">
        <f>UPPER(C23)</f>
        <v>BANGALORE</v>
      </c>
      <c r="K23" s="3">
        <v>0.85</v>
      </c>
      <c r="L23" s="3" t="str">
        <f>VLOOKUP(C23, Mapping!A:B, 2, FALSE)</f>
        <v>South</v>
      </c>
      <c r="M23" s="3">
        <f t="shared" si="0"/>
        <v>228</v>
      </c>
      <c r="N23" s="3">
        <f t="shared" si="1"/>
        <v>76</v>
      </c>
      <c r="O23" s="3" t="str">
        <f t="shared" si="2"/>
        <v>Average</v>
      </c>
      <c r="P23">
        <f t="shared" si="3"/>
        <v>85</v>
      </c>
      <c r="Q23">
        <f t="shared" si="4"/>
        <v>80</v>
      </c>
    </row>
    <row r="24" spans="1:17">
      <c r="A24" s="3">
        <v>111</v>
      </c>
      <c r="B24" s="3" t="s">
        <v>63</v>
      </c>
      <c r="C24" s="6" t="s">
        <v>9</v>
      </c>
      <c r="D24" s="3" t="s">
        <v>4</v>
      </c>
      <c r="E24" s="3">
        <v>66</v>
      </c>
      <c r="F24" s="3">
        <v>90</v>
      </c>
      <c r="G24" s="3">
        <v>74</v>
      </c>
      <c r="H24" s="4">
        <v>0.82</v>
      </c>
      <c r="I24" s="3" t="s">
        <v>19</v>
      </c>
      <c r="J24" s="3" t="str">
        <f>UPPER(C6)</f>
        <v>BANGALORE</v>
      </c>
      <c r="K24" s="3">
        <v>0.82</v>
      </c>
      <c r="L24" s="3" t="str">
        <f>VLOOKUP(C24, Mapping!A:B, 2, FALSE)</f>
        <v>South</v>
      </c>
      <c r="M24" s="3">
        <f>E24 + F24 + G24</f>
        <v>230</v>
      </c>
      <c r="N24" s="3">
        <f t="shared" si="1"/>
        <v>76.666666666666671</v>
      </c>
      <c r="O24" s="3" t="str">
        <f t="shared" si="2"/>
        <v>Average</v>
      </c>
      <c r="P24">
        <f t="shared" si="3"/>
        <v>82</v>
      </c>
      <c r="Q24">
        <f t="shared" si="4"/>
        <v>80</v>
      </c>
    </row>
    <row r="25" spans="1:17">
      <c r="A25" s="3">
        <v>124</v>
      </c>
      <c r="B25" s="3" t="s">
        <v>64</v>
      </c>
      <c r="C25" s="6" t="s">
        <v>42</v>
      </c>
      <c r="D25" s="3" t="s">
        <v>5</v>
      </c>
      <c r="E25" s="3">
        <v>74</v>
      </c>
      <c r="F25" s="3">
        <v>66</v>
      </c>
      <c r="G25" s="3">
        <v>78</v>
      </c>
      <c r="H25" s="4">
        <v>0.9</v>
      </c>
      <c r="I25" s="3" t="s">
        <v>19</v>
      </c>
      <c r="J25" s="3" t="str">
        <f>UPPER(C25)</f>
        <v>BANGALORE</v>
      </c>
      <c r="K25" s="3">
        <v>0.9</v>
      </c>
      <c r="L25" s="3" t="str">
        <f>VLOOKUP(C25, Mapping!A:B, 2, FALSE)</f>
        <v>South</v>
      </c>
      <c r="M25" s="3">
        <f t="shared" si="0"/>
        <v>218</v>
      </c>
      <c r="N25" s="3">
        <f t="shared" si="1"/>
        <v>72.666666666666671</v>
      </c>
      <c r="O25" s="3" t="str">
        <f t="shared" si="2"/>
        <v>Average</v>
      </c>
      <c r="P25">
        <f t="shared" si="3"/>
        <v>90</v>
      </c>
      <c r="Q25">
        <f t="shared" si="4"/>
        <v>90</v>
      </c>
    </row>
    <row r="26" spans="1:17">
      <c r="A26" s="3">
        <v>133</v>
      </c>
      <c r="B26" s="3" t="s">
        <v>65</v>
      </c>
      <c r="C26" s="6" t="s">
        <v>9</v>
      </c>
      <c r="D26" s="3" t="s">
        <v>2</v>
      </c>
      <c r="E26" s="3">
        <v>78</v>
      </c>
      <c r="F26" s="3">
        <v>86</v>
      </c>
      <c r="G26" s="3">
        <v>90</v>
      </c>
      <c r="H26" s="4" t="s">
        <v>39</v>
      </c>
      <c r="I26" s="3" t="s">
        <v>19</v>
      </c>
      <c r="J26" s="3" t="str">
        <f>UPPER(C6)</f>
        <v>BANGALORE</v>
      </c>
      <c r="K26" s="3">
        <v>0.79</v>
      </c>
      <c r="L26" s="3" t="str">
        <f>VLOOKUP(C26, Mapping!A:B, 2, FALSE)</f>
        <v>South</v>
      </c>
      <c r="M26" s="3">
        <f t="shared" si="0"/>
        <v>254</v>
      </c>
      <c r="N26" s="3">
        <f t="shared" si="1"/>
        <v>84.666666666666671</v>
      </c>
      <c r="O26" s="3" t="str">
        <f t="shared" si="2"/>
        <v>Top</v>
      </c>
      <c r="P26">
        <f t="shared" si="3"/>
        <v>79</v>
      </c>
      <c r="Q26">
        <f t="shared" si="4"/>
        <v>70</v>
      </c>
    </row>
    <row r="27" spans="1:17">
      <c r="A27" s="3">
        <v>108</v>
      </c>
      <c r="B27" s="3" t="s">
        <v>66</v>
      </c>
      <c r="C27" s="6" t="s">
        <v>10</v>
      </c>
      <c r="D27" s="3" t="s">
        <v>3</v>
      </c>
      <c r="E27" s="3">
        <v>59</v>
      </c>
      <c r="F27" s="3">
        <v>59</v>
      </c>
      <c r="G27" s="3">
        <v>66</v>
      </c>
      <c r="H27" s="4">
        <v>0.79</v>
      </c>
      <c r="I27" s="3" t="s">
        <v>19</v>
      </c>
      <c r="J27" s="3" t="str">
        <f>UPPER(C27)</f>
        <v>CHENNAI</v>
      </c>
      <c r="K27" s="3">
        <v>0.79</v>
      </c>
      <c r="L27" s="3" t="str">
        <f>VLOOKUP(C27, Mapping!A:B, 2, FALSE)</f>
        <v>South</v>
      </c>
      <c r="M27" s="3">
        <f t="shared" si="0"/>
        <v>184</v>
      </c>
      <c r="N27" s="3">
        <f t="shared" si="1"/>
        <v>61.333333333333336</v>
      </c>
      <c r="O27" s="3" t="str">
        <f t="shared" si="2"/>
        <v>Average</v>
      </c>
      <c r="P27">
        <f t="shared" si="3"/>
        <v>79</v>
      </c>
      <c r="Q27">
        <f t="shared" si="4"/>
        <v>70</v>
      </c>
    </row>
    <row r="28" spans="1:17">
      <c r="A28" s="3">
        <v>127</v>
      </c>
      <c r="B28" s="3" t="s">
        <v>67</v>
      </c>
      <c r="C28" s="6" t="s">
        <v>47</v>
      </c>
      <c r="D28" s="3" t="s">
        <v>4</v>
      </c>
      <c r="E28" s="3">
        <v>66</v>
      </c>
      <c r="F28" s="3">
        <v>78</v>
      </c>
      <c r="G28" s="3">
        <v>90</v>
      </c>
      <c r="H28" s="4">
        <v>0.85</v>
      </c>
      <c r="I28" s="3" t="s">
        <v>19</v>
      </c>
      <c r="J28" s="3" t="str">
        <f>UPPER(C28)</f>
        <v>HYDERABAD</v>
      </c>
      <c r="K28" s="3">
        <v>0.85</v>
      </c>
      <c r="L28" s="3" t="str">
        <f>VLOOKUP(C28, Mapping!A:B, 2, FALSE)</f>
        <v>South</v>
      </c>
      <c r="M28" s="3">
        <f t="shared" si="0"/>
        <v>234</v>
      </c>
      <c r="N28" s="3">
        <f>AVERAGE(E28, F28, G28)</f>
        <v>78</v>
      </c>
      <c r="O28" s="3" t="str">
        <f t="shared" si="2"/>
        <v>Average</v>
      </c>
      <c r="P28">
        <f t="shared" si="3"/>
        <v>85</v>
      </c>
      <c r="Q28">
        <f t="shared" si="4"/>
        <v>80</v>
      </c>
    </row>
    <row r="29" spans="1:17">
      <c r="A29" s="3">
        <v>130</v>
      </c>
      <c r="B29" s="3" t="s">
        <v>68</v>
      </c>
      <c r="C29" s="6" t="s">
        <v>9</v>
      </c>
      <c r="D29" s="3" t="s">
        <v>5</v>
      </c>
      <c r="E29" s="3">
        <v>90</v>
      </c>
      <c r="F29" s="3">
        <v>52</v>
      </c>
      <c r="G29" s="3">
        <v>59</v>
      </c>
      <c r="H29" s="4">
        <v>0.82</v>
      </c>
      <c r="I29" s="3" t="s">
        <v>19</v>
      </c>
      <c r="J29" s="3" t="str">
        <f>UPPER(C6)</f>
        <v>BANGALORE</v>
      </c>
      <c r="K29" s="3">
        <v>0.82</v>
      </c>
      <c r="L29" s="3" t="str">
        <f>VLOOKUP(C29, Mapping!A:B, 2, FALSE)</f>
        <v>South</v>
      </c>
      <c r="M29" s="3">
        <f t="shared" si="0"/>
        <v>201</v>
      </c>
      <c r="N29" s="3">
        <f t="shared" si="1"/>
        <v>67</v>
      </c>
      <c r="O29" s="3" t="str">
        <f t="shared" si="2"/>
        <v>Average</v>
      </c>
      <c r="P29">
        <f t="shared" si="3"/>
        <v>82</v>
      </c>
      <c r="Q29">
        <f t="shared" si="4"/>
        <v>80</v>
      </c>
    </row>
    <row r="30" spans="1:17">
      <c r="A30" s="3">
        <v>106</v>
      </c>
      <c r="B30" s="3" t="s">
        <v>69</v>
      </c>
      <c r="C30" s="6" t="s">
        <v>9</v>
      </c>
      <c r="D30" s="3" t="s">
        <v>3</v>
      </c>
      <c r="E30" s="3">
        <v>74</v>
      </c>
      <c r="F30" s="3">
        <v>90</v>
      </c>
      <c r="G30" s="3">
        <v>78</v>
      </c>
      <c r="H30" s="4">
        <v>0.79</v>
      </c>
      <c r="I30" s="3" t="s">
        <v>19</v>
      </c>
      <c r="J30" s="3" t="str">
        <f>UPPER(C30)</f>
        <v>BANGALORE</v>
      </c>
      <c r="K30" s="3">
        <v>0.79</v>
      </c>
      <c r="L30" s="3" t="str">
        <f>VLOOKUP(C30, Mapping!A:B, 2, FALSE)</f>
        <v>South</v>
      </c>
      <c r="M30" s="3">
        <f t="shared" si="0"/>
        <v>242</v>
      </c>
      <c r="N30" s="3">
        <f t="shared" si="1"/>
        <v>80.666666666666671</v>
      </c>
      <c r="O30" s="3" t="str">
        <f t="shared" si="2"/>
        <v>Top</v>
      </c>
      <c r="P30">
        <f t="shared" si="3"/>
        <v>79</v>
      </c>
      <c r="Q30">
        <f>FLOOR(P30,10)</f>
        <v>70</v>
      </c>
    </row>
    <row r="31" spans="1:17">
      <c r="A31" s="3">
        <v>130</v>
      </c>
      <c r="B31" s="3" t="s">
        <v>70</v>
      </c>
      <c r="C31" s="6" t="s">
        <v>9</v>
      </c>
      <c r="D31" s="3" t="s">
        <v>5</v>
      </c>
      <c r="E31" s="3">
        <v>78</v>
      </c>
      <c r="F31" s="3">
        <v>52</v>
      </c>
      <c r="G31" s="3">
        <v>66</v>
      </c>
      <c r="H31" s="4" t="s">
        <v>45</v>
      </c>
      <c r="I31" s="3" t="s">
        <v>19</v>
      </c>
      <c r="J31" s="3" t="str">
        <f>UPPER(C6)</f>
        <v>BANGALORE</v>
      </c>
      <c r="K31" s="3">
        <v>0.85</v>
      </c>
      <c r="L31" s="3" t="str">
        <f>VLOOKUP(C31, Mapping!A:B, 2, FALSE)</f>
        <v>South</v>
      </c>
      <c r="M31" s="3">
        <f t="shared" si="0"/>
        <v>196</v>
      </c>
      <c r="N31" s="3">
        <f t="shared" si="1"/>
        <v>65.333333333333329</v>
      </c>
      <c r="O31" s="3" t="str">
        <f t="shared" si="2"/>
        <v>Average</v>
      </c>
      <c r="P31">
        <f>K31*100</f>
        <v>85</v>
      </c>
      <c r="Q31">
        <f t="shared" si="4"/>
        <v>80</v>
      </c>
    </row>
    <row r="32" spans="1:17">
      <c r="A32" s="3">
        <v>131</v>
      </c>
      <c r="B32" s="3" t="s">
        <v>71</v>
      </c>
      <c r="C32" s="6" t="s">
        <v>9</v>
      </c>
      <c r="D32" s="3" t="s">
        <v>3</v>
      </c>
      <c r="E32" s="3">
        <v>59</v>
      </c>
      <c r="F32" s="3">
        <v>52</v>
      </c>
      <c r="G32" s="3">
        <v>90</v>
      </c>
      <c r="H32" s="4">
        <v>0.87</v>
      </c>
      <c r="I32" s="3" t="s">
        <v>19</v>
      </c>
      <c r="J32" s="3" t="str">
        <f>UPPER(C32)</f>
        <v>BANGALORE</v>
      </c>
      <c r="K32" s="3">
        <v>0.87</v>
      </c>
      <c r="L32" s="3" t="str">
        <f>VLOOKUP(C32, Mapping!A:B, 2, FALSE)</f>
        <v>South</v>
      </c>
      <c r="M32" s="3">
        <f t="shared" si="0"/>
        <v>201</v>
      </c>
      <c r="N32" s="3">
        <f t="shared" si="1"/>
        <v>67</v>
      </c>
      <c r="O32" s="3" t="str">
        <f>IF(N32&gt;80,"Top",IF(N32&gt;60,"Average","Low"))</f>
        <v>Average</v>
      </c>
      <c r="P32">
        <f t="shared" si="3"/>
        <v>87</v>
      </c>
      <c r="Q32">
        <f t="shared" si="4"/>
        <v>80</v>
      </c>
    </row>
    <row r="33" spans="1:17">
      <c r="A33" s="3">
        <v>132</v>
      </c>
      <c r="B33" s="3" t="s">
        <v>72</v>
      </c>
      <c r="C33" s="6" t="s">
        <v>42</v>
      </c>
      <c r="D33" s="3" t="s">
        <v>4</v>
      </c>
      <c r="E33" s="3">
        <v>52</v>
      </c>
      <c r="F33" s="3">
        <v>78</v>
      </c>
      <c r="G33" s="3">
        <v>74</v>
      </c>
      <c r="H33" s="4">
        <v>0.9</v>
      </c>
      <c r="I33" s="3" t="s">
        <v>19</v>
      </c>
      <c r="J33" s="3" t="str">
        <f>UPPER(C6)</f>
        <v>BANGALORE</v>
      </c>
      <c r="K33" s="3">
        <v>0.9</v>
      </c>
      <c r="L33" s="3" t="str">
        <f>VLOOKUP(C33, Mapping!A:B, 2, FALSE)</f>
        <v>South</v>
      </c>
      <c r="M33" s="3">
        <f t="shared" si="0"/>
        <v>204</v>
      </c>
      <c r="N33" s="3">
        <f t="shared" si="1"/>
        <v>68</v>
      </c>
      <c r="O33" s="3" t="str">
        <f t="shared" si="2"/>
        <v>Average</v>
      </c>
      <c r="P33">
        <f t="shared" si="3"/>
        <v>90</v>
      </c>
      <c r="Q33">
        <f t="shared" si="4"/>
        <v>90</v>
      </c>
    </row>
    <row r="34" spans="1:17">
      <c r="A34" s="3">
        <v>133</v>
      </c>
      <c r="B34" s="3" t="s">
        <v>73</v>
      </c>
      <c r="C34" s="6" t="s">
        <v>10</v>
      </c>
      <c r="D34" s="3" t="s">
        <v>5</v>
      </c>
      <c r="E34" s="3">
        <v>74</v>
      </c>
      <c r="F34" s="3">
        <v>59</v>
      </c>
      <c r="G34" s="3">
        <v>59</v>
      </c>
      <c r="H34" s="4">
        <v>0.82</v>
      </c>
      <c r="I34" s="3" t="s">
        <v>19</v>
      </c>
      <c r="J34" s="3" t="str">
        <f>UPPER(C34)</f>
        <v>CHENNAI</v>
      </c>
      <c r="K34" s="3">
        <v>0.82</v>
      </c>
      <c r="L34" s="3" t="str">
        <f>VLOOKUP(C34, Mapping!A:B, 2, FALSE)</f>
        <v>South</v>
      </c>
      <c r="M34" s="3">
        <f t="shared" si="0"/>
        <v>192</v>
      </c>
      <c r="N34" s="3">
        <f t="shared" si="1"/>
        <v>64</v>
      </c>
      <c r="O34" s="3" t="str">
        <f t="shared" si="2"/>
        <v>Average</v>
      </c>
      <c r="P34">
        <f t="shared" si="3"/>
        <v>82</v>
      </c>
      <c r="Q34">
        <f t="shared" si="4"/>
        <v>80</v>
      </c>
    </row>
    <row r="35" spans="1:17">
      <c r="A35" s="3">
        <v>106</v>
      </c>
      <c r="B35" s="3" t="s">
        <v>74</v>
      </c>
      <c r="C35" s="6" t="s">
        <v>9</v>
      </c>
      <c r="D35" s="3" t="s">
        <v>5</v>
      </c>
      <c r="E35" s="3">
        <v>66</v>
      </c>
      <c r="F35" s="3">
        <v>66</v>
      </c>
      <c r="G35" s="3">
        <v>90</v>
      </c>
      <c r="H35" s="4">
        <v>0.95</v>
      </c>
      <c r="I35" s="3" t="s">
        <v>19</v>
      </c>
      <c r="J35" s="3" t="str">
        <f>UPPER(C6)</f>
        <v>BANGALORE</v>
      </c>
      <c r="K35" s="3">
        <v>0.95</v>
      </c>
      <c r="L35" s="3" t="str">
        <f>VLOOKUP(C35, Mapping!A:B, 2, FALSE)</f>
        <v>South</v>
      </c>
      <c r="M35" s="3">
        <f t="shared" si="0"/>
        <v>222</v>
      </c>
      <c r="N35" s="3">
        <f t="shared" si="1"/>
        <v>74</v>
      </c>
      <c r="O35" s="3" t="str">
        <f t="shared" si="2"/>
        <v>Average</v>
      </c>
      <c r="P35">
        <f t="shared" si="3"/>
        <v>95</v>
      </c>
      <c r="Q35">
        <f t="shared" si="4"/>
        <v>90</v>
      </c>
    </row>
    <row r="36" spans="1:17">
      <c r="A36" s="3">
        <v>119</v>
      </c>
      <c r="B36" s="3" t="s">
        <v>75</v>
      </c>
      <c r="C36" s="6" t="s">
        <v>10</v>
      </c>
      <c r="D36" s="3" t="s">
        <v>2</v>
      </c>
      <c r="E36" s="3">
        <v>59</v>
      </c>
      <c r="F36" s="3">
        <v>90</v>
      </c>
      <c r="G36" s="3">
        <v>78</v>
      </c>
      <c r="H36" s="4" t="s">
        <v>39</v>
      </c>
      <c r="I36" s="3" t="s">
        <v>19</v>
      </c>
      <c r="J36" s="3" t="str">
        <f>UPPER(C36)</f>
        <v>CHENNAI</v>
      </c>
      <c r="K36" s="3">
        <v>0.79</v>
      </c>
      <c r="L36" s="3" t="str">
        <f>VLOOKUP(C36, Mapping!A:B, 2, FALSE)</f>
        <v>South</v>
      </c>
      <c r="M36" s="3">
        <f t="shared" si="0"/>
        <v>227</v>
      </c>
      <c r="N36" s="3">
        <f t="shared" si="1"/>
        <v>75.666666666666671</v>
      </c>
      <c r="O36" s="3" t="str">
        <f t="shared" si="2"/>
        <v>Average</v>
      </c>
      <c r="P36">
        <f t="shared" si="3"/>
        <v>79</v>
      </c>
      <c r="Q36">
        <f t="shared" si="4"/>
        <v>70</v>
      </c>
    </row>
    <row r="37" spans="1:17">
      <c r="A37" s="3">
        <v>136</v>
      </c>
      <c r="B37" s="3" t="s">
        <v>76</v>
      </c>
      <c r="C37" s="6" t="s">
        <v>47</v>
      </c>
      <c r="D37" s="3" t="s">
        <v>3</v>
      </c>
      <c r="E37" s="3">
        <v>78</v>
      </c>
      <c r="F37" s="3">
        <v>52</v>
      </c>
      <c r="G37" s="3">
        <v>59</v>
      </c>
      <c r="H37" s="4">
        <v>0.79</v>
      </c>
      <c r="I37" s="3" t="s">
        <v>19</v>
      </c>
      <c r="J37" s="3" t="str">
        <f>UPPER(C37)</f>
        <v>HYDERABAD</v>
      </c>
      <c r="K37" s="3">
        <v>0.79</v>
      </c>
      <c r="L37" s="3" t="str">
        <f>VLOOKUP(C37, Mapping!A:B, 2, FALSE)</f>
        <v>South</v>
      </c>
      <c r="M37" s="3">
        <f t="shared" si="0"/>
        <v>189</v>
      </c>
      <c r="N37" s="3">
        <f t="shared" si="1"/>
        <v>63</v>
      </c>
      <c r="O37" s="3" t="str">
        <f t="shared" si="2"/>
        <v>Average</v>
      </c>
      <c r="P37">
        <f t="shared" si="3"/>
        <v>79</v>
      </c>
      <c r="Q37">
        <f t="shared" si="4"/>
        <v>70</v>
      </c>
    </row>
    <row r="38" spans="1:17">
      <c r="A38" s="3">
        <v>146</v>
      </c>
      <c r="B38" s="3" t="s">
        <v>77</v>
      </c>
      <c r="C38" s="6" t="s">
        <v>42</v>
      </c>
      <c r="D38" s="3" t="s">
        <v>4</v>
      </c>
      <c r="E38" s="3">
        <v>90</v>
      </c>
      <c r="F38" s="3">
        <v>66</v>
      </c>
      <c r="G38" s="3">
        <v>66</v>
      </c>
      <c r="H38" s="4">
        <v>0.9</v>
      </c>
      <c r="I38" s="3" t="s">
        <v>19</v>
      </c>
      <c r="J38" s="3" t="str">
        <f>UPPER(C38)</f>
        <v>BANGALORE</v>
      </c>
      <c r="K38" s="3">
        <v>0.9</v>
      </c>
      <c r="L38" s="3" t="str">
        <f>VLOOKUP(C38, Mapping!A:B, 2, FALSE)</f>
        <v>South</v>
      </c>
      <c r="M38" s="3">
        <f t="shared" si="0"/>
        <v>222</v>
      </c>
      <c r="N38" s="3">
        <f t="shared" si="1"/>
        <v>74</v>
      </c>
      <c r="O38" s="3" t="str">
        <f t="shared" si="2"/>
        <v>Average</v>
      </c>
      <c r="P38">
        <f t="shared" si="3"/>
        <v>90</v>
      </c>
      <c r="Q38">
        <f t="shared" si="4"/>
        <v>90</v>
      </c>
    </row>
    <row r="39" spans="1:17">
      <c r="A39" s="3">
        <v>138</v>
      </c>
      <c r="B39" s="3" t="s">
        <v>78</v>
      </c>
      <c r="C39" s="6" t="s">
        <v>9</v>
      </c>
      <c r="D39" s="3" t="s">
        <v>2</v>
      </c>
      <c r="E39" s="3">
        <v>74</v>
      </c>
      <c r="F39" s="3">
        <v>78</v>
      </c>
      <c r="G39" s="3">
        <v>90</v>
      </c>
      <c r="H39" s="4" t="s">
        <v>51</v>
      </c>
      <c r="I39" s="3" t="s">
        <v>19</v>
      </c>
      <c r="J39" s="3" t="str">
        <f>UPPER(C39)</f>
        <v>BANGALORE</v>
      </c>
      <c r="K39" s="3">
        <v>0.92</v>
      </c>
      <c r="L39" s="3" t="str">
        <f>VLOOKUP(C39, Mapping!A:B, 2, FALSE)</f>
        <v>South</v>
      </c>
      <c r="M39" s="3">
        <f t="shared" si="0"/>
        <v>242</v>
      </c>
      <c r="N39" s="3">
        <f t="shared" si="1"/>
        <v>80.666666666666671</v>
      </c>
      <c r="O39" s="3" t="str">
        <f t="shared" si="2"/>
        <v>Top</v>
      </c>
      <c r="P39">
        <f t="shared" si="3"/>
        <v>92</v>
      </c>
      <c r="Q39">
        <f t="shared" si="4"/>
        <v>90</v>
      </c>
    </row>
    <row r="40" spans="1:17">
      <c r="A40" s="3">
        <v>139</v>
      </c>
      <c r="B40" s="3" t="s">
        <v>79</v>
      </c>
      <c r="C40" s="6" t="s">
        <v>12</v>
      </c>
      <c r="D40" s="3" t="s">
        <v>5</v>
      </c>
      <c r="E40" s="3">
        <v>66</v>
      </c>
      <c r="F40" s="3">
        <v>66</v>
      </c>
      <c r="G40" s="3">
        <v>52</v>
      </c>
      <c r="H40" s="4">
        <v>0.79</v>
      </c>
      <c r="I40" s="3" t="s">
        <v>19</v>
      </c>
      <c r="J40" s="3" t="s">
        <v>12</v>
      </c>
      <c r="K40" s="3">
        <v>0.79</v>
      </c>
      <c r="L40" s="3" t="str">
        <f>VLOOKUP(C40, Mapping!A:B, 2, FALSE)</f>
        <v>West</v>
      </c>
      <c r="M40" s="3">
        <f t="shared" si="0"/>
        <v>184</v>
      </c>
      <c r="N40" s="3">
        <f t="shared" si="1"/>
        <v>61.333333333333336</v>
      </c>
      <c r="O40" s="3" t="str">
        <f t="shared" si="2"/>
        <v>Average</v>
      </c>
      <c r="P40">
        <f t="shared" si="3"/>
        <v>79</v>
      </c>
      <c r="Q40">
        <f t="shared" si="4"/>
        <v>70</v>
      </c>
    </row>
    <row r="41" spans="1:17">
      <c r="A41" s="3">
        <v>140</v>
      </c>
      <c r="B41" s="3" t="s">
        <v>80</v>
      </c>
      <c r="C41" s="6" t="s">
        <v>9</v>
      </c>
      <c r="D41" s="3" t="s">
        <v>3</v>
      </c>
      <c r="E41" s="3">
        <v>59</v>
      </c>
      <c r="F41" s="3">
        <v>90</v>
      </c>
      <c r="G41" s="3">
        <v>59</v>
      </c>
      <c r="H41" s="4">
        <v>0.87</v>
      </c>
      <c r="I41" s="3" t="s">
        <v>19</v>
      </c>
      <c r="J41" s="3" t="str">
        <f>UPPER(C6)</f>
        <v>BANGALORE</v>
      </c>
      <c r="K41" s="3">
        <v>0.87</v>
      </c>
      <c r="L41" s="3" t="str">
        <f>VLOOKUP(C41, Mapping!A:B, 2, FALSE)</f>
        <v>South</v>
      </c>
      <c r="M41" s="3">
        <f>E41 + F41 + G41</f>
        <v>208</v>
      </c>
      <c r="N41" s="3">
        <f t="shared" si="1"/>
        <v>69.333333333333329</v>
      </c>
      <c r="O41" s="3" t="str">
        <f t="shared" si="2"/>
        <v>Average</v>
      </c>
      <c r="P41">
        <f t="shared" si="3"/>
        <v>87</v>
      </c>
      <c r="Q41">
        <f t="shared" si="4"/>
        <v>80</v>
      </c>
    </row>
    <row r="42" spans="1:17">
      <c r="A42" s="3">
        <v>141</v>
      </c>
      <c r="B42" s="3" t="s">
        <v>81</v>
      </c>
      <c r="C42" s="6" t="s">
        <v>10</v>
      </c>
      <c r="D42" s="3" t="s">
        <v>4</v>
      </c>
      <c r="E42" s="3">
        <v>78</v>
      </c>
      <c r="F42" s="3">
        <v>74</v>
      </c>
      <c r="G42" s="3">
        <v>86</v>
      </c>
      <c r="H42" s="4" t="s">
        <v>45</v>
      </c>
      <c r="I42" s="3" t="s">
        <v>19</v>
      </c>
      <c r="J42" s="3" t="str">
        <f>UPPER(C34)</f>
        <v>CHENNAI</v>
      </c>
      <c r="K42" s="3">
        <v>0.85</v>
      </c>
      <c r="L42" s="3" t="str">
        <f>VLOOKUP(C42, Mapping!A:B, 2, FALSE)</f>
        <v>South</v>
      </c>
      <c r="M42" s="3">
        <f t="shared" si="0"/>
        <v>238</v>
      </c>
      <c r="N42" s="3">
        <f t="shared" si="1"/>
        <v>79.333333333333329</v>
      </c>
      <c r="O42" s="3" t="str">
        <f t="shared" si="2"/>
        <v>Average</v>
      </c>
      <c r="P42">
        <f t="shared" si="3"/>
        <v>85</v>
      </c>
      <c r="Q42">
        <f t="shared" si="4"/>
        <v>80</v>
      </c>
    </row>
    <row r="43" spans="1:17">
      <c r="A43" s="3">
        <v>106</v>
      </c>
      <c r="B43" s="3" t="s">
        <v>82</v>
      </c>
      <c r="C43" s="6" t="s">
        <v>9</v>
      </c>
      <c r="D43" s="3" t="s">
        <v>5</v>
      </c>
      <c r="E43" s="3">
        <v>74</v>
      </c>
      <c r="F43" s="3">
        <v>66</v>
      </c>
      <c r="G43" s="3">
        <v>59</v>
      </c>
      <c r="H43" s="4">
        <v>0.82</v>
      </c>
      <c r="I43" s="3" t="s">
        <v>19</v>
      </c>
      <c r="J43" s="3" t="str">
        <f>UPPER(C18)</f>
        <v>BANGALORE</v>
      </c>
      <c r="K43" s="3">
        <v>0.82</v>
      </c>
      <c r="L43" s="3" t="str">
        <f>VLOOKUP(C43, Mapping!A:B, 2, FALSE)</f>
        <v>South</v>
      </c>
      <c r="M43" s="3">
        <f t="shared" si="0"/>
        <v>199</v>
      </c>
      <c r="N43" s="3">
        <f t="shared" si="1"/>
        <v>66.333333333333329</v>
      </c>
      <c r="O43" s="3" t="str">
        <f t="shared" si="2"/>
        <v>Average</v>
      </c>
      <c r="P43">
        <f t="shared" si="3"/>
        <v>82</v>
      </c>
      <c r="Q43">
        <f t="shared" si="4"/>
        <v>80</v>
      </c>
    </row>
    <row r="44" spans="1:17">
      <c r="A44" s="3">
        <v>122</v>
      </c>
      <c r="B44" s="3" t="s">
        <v>83</v>
      </c>
      <c r="C44" s="6" t="s">
        <v>47</v>
      </c>
      <c r="D44" s="3" t="s">
        <v>5</v>
      </c>
      <c r="E44" s="3">
        <v>90</v>
      </c>
      <c r="F44" s="3">
        <v>59</v>
      </c>
      <c r="G44" s="3">
        <v>59</v>
      </c>
      <c r="H44" s="4">
        <v>0.87</v>
      </c>
      <c r="I44" s="3" t="s">
        <v>19</v>
      </c>
      <c r="J44" s="3" t="str">
        <f>UPPER(C20)</f>
        <v>HYDERABAD</v>
      </c>
      <c r="K44" s="3">
        <v>0.87</v>
      </c>
      <c r="L44" s="3" t="str">
        <f>VLOOKUP(C44, Mapping!A:B, 2, FALSE)</f>
        <v>South</v>
      </c>
      <c r="M44" s="3">
        <f t="shared" si="0"/>
        <v>208</v>
      </c>
      <c r="N44" s="3">
        <f t="shared" si="1"/>
        <v>69.333333333333329</v>
      </c>
      <c r="O44" s="3" t="str">
        <f t="shared" si="2"/>
        <v>Average</v>
      </c>
      <c r="P44">
        <f t="shared" si="3"/>
        <v>87</v>
      </c>
      <c r="Q44">
        <f t="shared" si="4"/>
        <v>80</v>
      </c>
    </row>
    <row r="45" spans="1:17">
      <c r="A45" s="3">
        <v>144</v>
      </c>
      <c r="B45" s="3" t="s">
        <v>84</v>
      </c>
      <c r="C45" s="6" t="s">
        <v>12</v>
      </c>
      <c r="D45" s="3" t="s">
        <v>3</v>
      </c>
      <c r="E45" s="3">
        <v>74</v>
      </c>
      <c r="F45" s="3">
        <v>90</v>
      </c>
      <c r="G45" s="3">
        <v>90</v>
      </c>
      <c r="H45" s="4">
        <v>0.9</v>
      </c>
      <c r="I45" s="3" t="s">
        <v>19</v>
      </c>
      <c r="J45" s="3" t="s">
        <v>12</v>
      </c>
      <c r="K45" s="3">
        <v>0.9</v>
      </c>
      <c r="L45" s="3" t="str">
        <f>VLOOKUP(C45, Mapping!A:B, 2, FALSE)</f>
        <v>West</v>
      </c>
      <c r="M45" s="3">
        <f t="shared" si="0"/>
        <v>254</v>
      </c>
      <c r="N45" s="3">
        <f t="shared" si="1"/>
        <v>84.666666666666671</v>
      </c>
      <c r="O45" s="3" t="str">
        <f>IF(N45&gt;80,"Top",IF(N45&gt;60,"Average","Low"))</f>
        <v>Top</v>
      </c>
      <c r="P45">
        <f t="shared" si="3"/>
        <v>90</v>
      </c>
      <c r="Q45">
        <f t="shared" si="4"/>
        <v>90</v>
      </c>
    </row>
    <row r="46" spans="1:17">
      <c r="A46" s="3">
        <v>145</v>
      </c>
      <c r="B46" s="3" t="s">
        <v>85</v>
      </c>
      <c r="C46" s="6" t="s">
        <v>9</v>
      </c>
      <c r="D46" s="3" t="s">
        <v>5</v>
      </c>
      <c r="E46" s="3">
        <v>59</v>
      </c>
      <c r="F46" s="3">
        <v>78</v>
      </c>
      <c r="G46" s="3">
        <v>52</v>
      </c>
      <c r="H46" s="4" t="s">
        <v>51</v>
      </c>
      <c r="I46" s="3" t="s">
        <v>19</v>
      </c>
      <c r="J46" s="3" t="str">
        <f>UPPER(C6)</f>
        <v>BANGALORE</v>
      </c>
      <c r="K46" s="3">
        <v>0.92</v>
      </c>
      <c r="L46" s="3" t="str">
        <f>VLOOKUP(C46, Mapping!A:B, 2, FALSE)</f>
        <v>South</v>
      </c>
      <c r="M46" s="3">
        <f t="shared" si="0"/>
        <v>189</v>
      </c>
      <c r="N46" s="3">
        <f t="shared" si="1"/>
        <v>63</v>
      </c>
      <c r="O46" s="3" t="str">
        <f t="shared" si="2"/>
        <v>Average</v>
      </c>
      <c r="P46">
        <f t="shared" si="3"/>
        <v>92</v>
      </c>
      <c r="Q46">
        <f t="shared" si="4"/>
        <v>90</v>
      </c>
    </row>
    <row r="47" spans="1:17">
      <c r="A47" s="3">
        <v>146</v>
      </c>
      <c r="B47" s="3" t="s">
        <v>86</v>
      </c>
      <c r="C47" s="6" t="s">
        <v>9</v>
      </c>
      <c r="D47" s="3" t="s">
        <v>4</v>
      </c>
      <c r="E47" s="3">
        <v>52</v>
      </c>
      <c r="F47" s="3">
        <v>66</v>
      </c>
      <c r="G47" s="3">
        <v>66</v>
      </c>
      <c r="H47" s="4">
        <v>0.79</v>
      </c>
      <c r="I47" s="3" t="s">
        <v>19</v>
      </c>
      <c r="J47" s="3" t="str">
        <f>UPPER(C18)</f>
        <v>BANGALORE</v>
      </c>
      <c r="K47" s="3">
        <v>0.79</v>
      </c>
      <c r="L47" s="3" t="str">
        <f>VLOOKUP(C47, Mapping!A:B, 2, FALSE)</f>
        <v>South</v>
      </c>
      <c r="M47" s="3">
        <f t="shared" si="0"/>
        <v>184</v>
      </c>
      <c r="N47" s="3">
        <f t="shared" si="1"/>
        <v>61.333333333333336</v>
      </c>
      <c r="O47" s="3" t="str">
        <f t="shared" si="2"/>
        <v>Average</v>
      </c>
      <c r="P47">
        <f t="shared" si="3"/>
        <v>79</v>
      </c>
      <c r="Q47">
        <f>FLOOR(P47,10)</f>
        <v>70</v>
      </c>
    </row>
    <row r="48" spans="1:17">
      <c r="A48" s="3">
        <v>128</v>
      </c>
      <c r="B48" s="3" t="s">
        <v>87</v>
      </c>
      <c r="C48" s="6" t="s">
        <v>47</v>
      </c>
      <c r="D48" s="3" t="s">
        <v>2</v>
      </c>
      <c r="E48" s="3">
        <v>52</v>
      </c>
      <c r="F48" s="3">
        <v>90</v>
      </c>
      <c r="G48" s="3">
        <v>66</v>
      </c>
      <c r="H48" s="4">
        <v>0.85</v>
      </c>
      <c r="I48" s="3" t="s">
        <v>19</v>
      </c>
      <c r="J48" s="3" t="str">
        <f>UPPER(C20)</f>
        <v>HYDERABAD</v>
      </c>
      <c r="K48" s="3">
        <v>0.85</v>
      </c>
      <c r="L48" s="3" t="str">
        <f>VLOOKUP(C48, Mapping!A:B, 2, FALSE)</f>
        <v>South</v>
      </c>
      <c r="M48" s="3">
        <f t="shared" si="0"/>
        <v>208</v>
      </c>
      <c r="N48" s="3">
        <f t="shared" si="1"/>
        <v>69.333333333333329</v>
      </c>
      <c r="O48" s="3" t="str">
        <f t="shared" si="2"/>
        <v>Average</v>
      </c>
      <c r="P48">
        <f t="shared" si="3"/>
        <v>85</v>
      </c>
      <c r="Q48">
        <f t="shared" si="4"/>
        <v>80</v>
      </c>
    </row>
    <row r="49" spans="1:17">
      <c r="A49" s="3">
        <v>148</v>
      </c>
      <c r="B49" s="3" t="s">
        <v>88</v>
      </c>
      <c r="C49" s="6" t="s">
        <v>42</v>
      </c>
      <c r="D49" s="3" t="s">
        <v>4</v>
      </c>
      <c r="E49" s="3">
        <v>90</v>
      </c>
      <c r="F49" s="3">
        <v>59</v>
      </c>
      <c r="G49" s="3">
        <v>78</v>
      </c>
      <c r="H49" s="4">
        <v>0.87</v>
      </c>
      <c r="I49" s="3" t="s">
        <v>19</v>
      </c>
      <c r="J49" s="3" t="str">
        <f>UPPER(C18)</f>
        <v>BANGALORE</v>
      </c>
      <c r="K49" s="3">
        <v>0.87</v>
      </c>
      <c r="L49" s="3" t="str">
        <f>VLOOKUP(C49, Mapping!A:B, 2, FALSE)</f>
        <v>South</v>
      </c>
      <c r="M49" s="3">
        <f t="shared" si="0"/>
        <v>227</v>
      </c>
      <c r="N49" s="3">
        <f>AVERAGE(E49, F49, G49)</f>
        <v>75.666666666666671</v>
      </c>
      <c r="O49" s="3" t="str">
        <f t="shared" si="2"/>
        <v>Average</v>
      </c>
      <c r="P49">
        <f t="shared" si="3"/>
        <v>87</v>
      </c>
      <c r="Q49">
        <f t="shared" si="4"/>
        <v>80</v>
      </c>
    </row>
    <row r="50" spans="1:17">
      <c r="A50" s="3">
        <v>149</v>
      </c>
      <c r="B50" s="3" t="s">
        <v>89</v>
      </c>
      <c r="C50" s="6" t="s">
        <v>10</v>
      </c>
      <c r="D50" s="3" t="s">
        <v>5</v>
      </c>
      <c r="E50" s="3">
        <v>78</v>
      </c>
      <c r="F50" s="3">
        <v>59</v>
      </c>
      <c r="G50" s="3">
        <v>90</v>
      </c>
      <c r="H50" s="4">
        <v>0.95</v>
      </c>
      <c r="I50" s="3" t="s">
        <v>19</v>
      </c>
      <c r="J50" s="3" t="str">
        <f>UPPER(C34)</f>
        <v>CHENNAI</v>
      </c>
      <c r="K50" s="3">
        <v>0.95</v>
      </c>
      <c r="L50" s="3" t="str">
        <f>VLOOKUP(C50, Mapping!A:B, 2, FALSE)</f>
        <v>South</v>
      </c>
      <c r="M50" s="3">
        <f t="shared" si="0"/>
        <v>227</v>
      </c>
      <c r="N50" s="3">
        <f t="shared" si="1"/>
        <v>75.666666666666671</v>
      </c>
      <c r="O50" s="3" t="str">
        <f t="shared" si="2"/>
        <v>Average</v>
      </c>
      <c r="P50">
        <f>K50*100</f>
        <v>95</v>
      </c>
      <c r="Q50">
        <f t="shared" si="4"/>
        <v>90</v>
      </c>
    </row>
    <row r="51" spans="1:17">
      <c r="A51" s="3">
        <v>150</v>
      </c>
      <c r="B51" s="3" t="s">
        <v>90</v>
      </c>
      <c r="C51" s="6" t="s">
        <v>12</v>
      </c>
      <c r="D51" s="3" t="s">
        <v>4</v>
      </c>
      <c r="E51" s="3">
        <v>88</v>
      </c>
      <c r="F51" s="3">
        <v>79</v>
      </c>
      <c r="G51" s="3">
        <v>64</v>
      </c>
      <c r="H51" s="4">
        <v>0.85</v>
      </c>
      <c r="I51" s="3" t="s">
        <v>19</v>
      </c>
      <c r="J51" s="3" t="s">
        <v>12</v>
      </c>
      <c r="K51" s="3">
        <v>0.85</v>
      </c>
      <c r="L51" s="3" t="str">
        <f>VLOOKUP(C51, Mapping!A:B, 2, FALSE)</f>
        <v>West</v>
      </c>
      <c r="M51" s="3">
        <f t="shared" si="0"/>
        <v>231</v>
      </c>
      <c r="N51" s="3">
        <f t="shared" si="1"/>
        <v>77</v>
      </c>
      <c r="O51" s="3" t="str">
        <f t="shared" si="2"/>
        <v>Average</v>
      </c>
      <c r="P51">
        <f t="shared" si="3"/>
        <v>85</v>
      </c>
      <c r="Q51">
        <f t="shared" si="4"/>
        <v>80</v>
      </c>
    </row>
    <row r="52" spans="1:17">
      <c r="A52" s="3">
        <v>121</v>
      </c>
      <c r="B52" s="3" t="s">
        <v>61</v>
      </c>
      <c r="C52" s="6" t="s">
        <v>10</v>
      </c>
      <c r="D52" s="3" t="s">
        <v>3</v>
      </c>
      <c r="E52" s="3">
        <v>90</v>
      </c>
      <c r="F52" s="3">
        <v>78</v>
      </c>
      <c r="G52" s="3">
        <v>66</v>
      </c>
      <c r="H52" s="4">
        <v>0.79</v>
      </c>
      <c r="I52" s="3" t="s">
        <v>20</v>
      </c>
      <c r="J52" s="3" t="str">
        <f>UPPER(C34)</f>
        <v>CHENNAI</v>
      </c>
      <c r="K52" s="3">
        <v>0.79</v>
      </c>
      <c r="L52" s="3" t="str">
        <f>VLOOKUP(C52, Mapping!A:B, 2, FALSE)</f>
        <v>South</v>
      </c>
      <c r="M52" s="3">
        <f t="shared" si="0"/>
        <v>234</v>
      </c>
      <c r="N52" s="3">
        <f t="shared" si="1"/>
        <v>78</v>
      </c>
      <c r="O52" s="3" t="str">
        <f t="shared" si="2"/>
        <v>Average</v>
      </c>
      <c r="P52">
        <f t="shared" si="3"/>
        <v>79</v>
      </c>
      <c r="Q52">
        <f t="shared" si="4"/>
        <v>70</v>
      </c>
    </row>
    <row r="53" spans="1:17">
      <c r="A53" s="3">
        <v>133</v>
      </c>
      <c r="B53" s="3" t="s">
        <v>73</v>
      </c>
      <c r="C53" s="6" t="s">
        <v>10</v>
      </c>
      <c r="D53" s="3" t="s">
        <v>5</v>
      </c>
      <c r="E53" s="3">
        <v>74</v>
      </c>
      <c r="F53" s="3">
        <v>59</v>
      </c>
      <c r="G53" s="3">
        <v>59</v>
      </c>
      <c r="H53" s="4">
        <v>0.82</v>
      </c>
      <c r="I53" s="3" t="s">
        <v>20</v>
      </c>
      <c r="J53" s="3" t="str">
        <f>UPPER(C34)</f>
        <v>CHENNAI</v>
      </c>
      <c r="K53" s="3">
        <v>0.82</v>
      </c>
      <c r="L53" s="3" t="str">
        <f>VLOOKUP(C53, Mapping!A:B, 2, FALSE)</f>
        <v>South</v>
      </c>
      <c r="M53" s="3">
        <f t="shared" si="0"/>
        <v>192</v>
      </c>
      <c r="N53" s="3">
        <f t="shared" si="1"/>
        <v>64</v>
      </c>
      <c r="O53" s="3" t="str">
        <f t="shared" si="2"/>
        <v>Average</v>
      </c>
      <c r="P53">
        <f t="shared" si="3"/>
        <v>82</v>
      </c>
      <c r="Q53">
        <f t="shared" si="4"/>
        <v>80</v>
      </c>
    </row>
    <row r="54" spans="1:17">
      <c r="A54" s="3">
        <v>148</v>
      </c>
      <c r="B54" s="3" t="s">
        <v>88</v>
      </c>
      <c r="C54" s="6" t="s">
        <v>42</v>
      </c>
      <c r="D54" s="3" t="s">
        <v>4</v>
      </c>
      <c r="E54" s="3">
        <v>90</v>
      </c>
      <c r="F54" s="3">
        <v>59</v>
      </c>
      <c r="G54" s="3">
        <v>78</v>
      </c>
      <c r="H54" s="4">
        <v>0.87</v>
      </c>
      <c r="I54" s="3" t="s">
        <v>20</v>
      </c>
      <c r="J54" s="3" t="str">
        <f>UPPER(C18)</f>
        <v>BANGALORE</v>
      </c>
      <c r="K54" s="3">
        <v>0.87</v>
      </c>
      <c r="L54" s="3" t="str">
        <f>VLOOKUP(C54, Mapping!A:B, 2, FALSE)</f>
        <v>South</v>
      </c>
      <c r="M54" s="3">
        <f t="shared" si="0"/>
        <v>227</v>
      </c>
      <c r="N54" s="3">
        <f t="shared" si="1"/>
        <v>75.666666666666671</v>
      </c>
      <c r="O54" s="3" t="str">
        <f t="shared" si="2"/>
        <v>Average</v>
      </c>
      <c r="P54">
        <f t="shared" si="3"/>
        <v>87</v>
      </c>
      <c r="Q54">
        <f t="shared" si="4"/>
        <v>80</v>
      </c>
    </row>
    <row r="55" spans="1:17">
      <c r="A55" s="3">
        <v>108</v>
      </c>
      <c r="B55" s="3" t="s">
        <v>66</v>
      </c>
      <c r="C55" s="6" t="s">
        <v>10</v>
      </c>
      <c r="D55" s="3" t="s">
        <v>3</v>
      </c>
      <c r="E55" s="3">
        <v>59</v>
      </c>
      <c r="F55" s="3">
        <v>59</v>
      </c>
      <c r="G55" s="3">
        <v>66</v>
      </c>
      <c r="H55" s="4">
        <v>0.79</v>
      </c>
      <c r="I55" s="3" t="s">
        <v>20</v>
      </c>
      <c r="J55" s="3" t="str">
        <f>UPPER(C34)</f>
        <v>CHENNAI</v>
      </c>
      <c r="K55" s="3">
        <v>0.79</v>
      </c>
      <c r="L55" s="3" t="str">
        <f>VLOOKUP(C55, Mapping!A:B, 2, FALSE)</f>
        <v>South</v>
      </c>
      <c r="M55" s="3">
        <f t="shared" si="0"/>
        <v>184</v>
      </c>
      <c r="N55" s="3">
        <f t="shared" si="1"/>
        <v>61.333333333333336</v>
      </c>
      <c r="O55" s="3" t="str">
        <f t="shared" si="2"/>
        <v>Average</v>
      </c>
      <c r="P55">
        <f t="shared" si="3"/>
        <v>79</v>
      </c>
      <c r="Q55">
        <f t="shared" si="4"/>
        <v>70</v>
      </c>
    </row>
    <row r="56" spans="1:17">
      <c r="A56" s="3">
        <v>106</v>
      </c>
      <c r="B56" s="3" t="s">
        <v>82</v>
      </c>
      <c r="C56" s="6" t="s">
        <v>9</v>
      </c>
      <c r="D56" s="3" t="s">
        <v>5</v>
      </c>
      <c r="E56" s="3">
        <v>74</v>
      </c>
      <c r="F56" s="3">
        <v>66</v>
      </c>
      <c r="G56" s="3">
        <v>59</v>
      </c>
      <c r="H56" s="4">
        <v>0.82</v>
      </c>
      <c r="I56" s="3" t="s">
        <v>20</v>
      </c>
      <c r="J56" s="3" t="str">
        <f>UPPER(C18)</f>
        <v>BANGALORE</v>
      </c>
      <c r="K56" s="3">
        <v>0.82</v>
      </c>
      <c r="L56" s="3" t="str">
        <f>VLOOKUP(C56, Mapping!A:B, 2, FALSE)</f>
        <v>South</v>
      </c>
      <c r="M56" s="3">
        <f t="shared" si="0"/>
        <v>199</v>
      </c>
      <c r="N56" s="3">
        <f t="shared" si="1"/>
        <v>66.333333333333329</v>
      </c>
      <c r="O56" s="3" t="str">
        <f t="shared" si="2"/>
        <v>Average</v>
      </c>
      <c r="P56">
        <f t="shared" si="3"/>
        <v>82</v>
      </c>
      <c r="Q56">
        <f t="shared" si="4"/>
        <v>80</v>
      </c>
    </row>
    <row r="57" spans="1:17">
      <c r="A57" s="3">
        <v>146</v>
      </c>
      <c r="B57" s="3" t="s">
        <v>86</v>
      </c>
      <c r="C57" s="6" t="s">
        <v>10</v>
      </c>
      <c r="D57" s="3" t="s">
        <v>4</v>
      </c>
      <c r="E57" s="3">
        <v>52</v>
      </c>
      <c r="F57" s="3">
        <v>66</v>
      </c>
      <c r="G57" s="3">
        <v>66</v>
      </c>
      <c r="H57" s="4" t="s">
        <v>45</v>
      </c>
      <c r="I57" s="3" t="s">
        <v>20</v>
      </c>
      <c r="J57" s="3" t="str">
        <f>UPPER(C34)</f>
        <v>CHENNAI</v>
      </c>
      <c r="K57" s="3">
        <v>0.85</v>
      </c>
      <c r="L57" s="3" t="str">
        <f>VLOOKUP(C57, Mapping!A:B, 2, FALSE)</f>
        <v>South</v>
      </c>
      <c r="M57" s="3">
        <f t="shared" si="0"/>
        <v>184</v>
      </c>
      <c r="N57" s="3">
        <f t="shared" si="1"/>
        <v>61.333333333333336</v>
      </c>
      <c r="O57" s="3" t="str">
        <f>IF(N57&gt;80,"Top",IF(N57&gt;60,"Average","Low"))</f>
        <v>Average</v>
      </c>
      <c r="P57">
        <f t="shared" si="3"/>
        <v>85</v>
      </c>
      <c r="Q57">
        <f t="shared" si="4"/>
        <v>80</v>
      </c>
    </row>
    <row r="58" spans="1:17">
      <c r="A58" s="3">
        <v>104</v>
      </c>
      <c r="B58" s="3" t="s">
        <v>40</v>
      </c>
      <c r="C58" s="6" t="s">
        <v>9</v>
      </c>
      <c r="D58" s="3" t="s">
        <v>3</v>
      </c>
      <c r="E58" s="3">
        <v>52</v>
      </c>
      <c r="F58" s="3">
        <v>59</v>
      </c>
      <c r="G58" s="3">
        <v>78</v>
      </c>
      <c r="H58" s="4">
        <v>0.87</v>
      </c>
      <c r="I58" s="3" t="s">
        <v>20</v>
      </c>
      <c r="J58" s="3" t="str">
        <f>UPPER(C6)</f>
        <v>BANGALORE</v>
      </c>
      <c r="K58" s="3">
        <v>0.87</v>
      </c>
      <c r="L58" s="3" t="str">
        <f>VLOOKUP(C58, Mapping!A:B, 2, FALSE)</f>
        <v>South</v>
      </c>
      <c r="M58" s="3">
        <f t="shared" si="0"/>
        <v>189</v>
      </c>
      <c r="N58" s="3">
        <f t="shared" si="1"/>
        <v>63</v>
      </c>
      <c r="O58" s="3" t="str">
        <f t="shared" si="2"/>
        <v>Average</v>
      </c>
      <c r="P58">
        <f t="shared" si="3"/>
        <v>87</v>
      </c>
      <c r="Q58">
        <f t="shared" si="4"/>
        <v>80</v>
      </c>
    </row>
    <row r="59" spans="1:17">
      <c r="A59" s="3">
        <v>124</v>
      </c>
      <c r="B59" s="3" t="s">
        <v>64</v>
      </c>
      <c r="C59" s="6" t="s">
        <v>10</v>
      </c>
      <c r="D59" s="3" t="s">
        <v>5</v>
      </c>
      <c r="E59" s="3">
        <v>74</v>
      </c>
      <c r="F59" s="3">
        <v>66</v>
      </c>
      <c r="G59" s="3">
        <v>78</v>
      </c>
      <c r="H59" s="4">
        <v>0.9</v>
      </c>
      <c r="I59" s="3" t="s">
        <v>20</v>
      </c>
      <c r="J59" s="3" t="str">
        <f>UPPER(C34)</f>
        <v>CHENNAI</v>
      </c>
      <c r="K59" s="3">
        <v>0.9</v>
      </c>
      <c r="L59" s="3" t="str">
        <f>VLOOKUP(C59, Mapping!A:B, 2, FALSE)</f>
        <v>South</v>
      </c>
      <c r="M59" s="3">
        <f t="shared" si="0"/>
        <v>218</v>
      </c>
      <c r="N59" s="3">
        <f t="shared" si="1"/>
        <v>72.666666666666671</v>
      </c>
      <c r="O59" s="3" t="str">
        <f t="shared" si="2"/>
        <v>Average</v>
      </c>
      <c r="P59">
        <f t="shared" si="3"/>
        <v>90</v>
      </c>
      <c r="Q59">
        <f t="shared" si="4"/>
        <v>90</v>
      </c>
    </row>
    <row r="60" spans="1:17">
      <c r="A60" s="3">
        <v>106</v>
      </c>
      <c r="B60" s="3" t="s">
        <v>82</v>
      </c>
      <c r="C60" s="6" t="s">
        <v>9</v>
      </c>
      <c r="D60" s="3" t="s">
        <v>5</v>
      </c>
      <c r="E60" s="3">
        <v>74</v>
      </c>
      <c r="F60" s="3">
        <v>66</v>
      </c>
      <c r="G60" s="3">
        <v>59</v>
      </c>
      <c r="H60" s="4" t="s">
        <v>51</v>
      </c>
      <c r="I60" s="3" t="s">
        <v>20</v>
      </c>
      <c r="J60" s="3" t="str">
        <f>UPPER(C18)</f>
        <v>BANGALORE</v>
      </c>
      <c r="K60" s="3">
        <v>0.92</v>
      </c>
      <c r="L60" s="3" t="str">
        <f>VLOOKUP(C60, Mapping!A:B, 2, FALSE)</f>
        <v>South</v>
      </c>
      <c r="M60" s="3">
        <f t="shared" si="0"/>
        <v>199</v>
      </c>
      <c r="N60" s="3">
        <f t="shared" si="1"/>
        <v>66.333333333333329</v>
      </c>
      <c r="O60" s="3" t="str">
        <f t="shared" si="2"/>
        <v>Average</v>
      </c>
      <c r="P60">
        <f t="shared" si="3"/>
        <v>92</v>
      </c>
      <c r="Q60">
        <f t="shared" si="4"/>
        <v>90</v>
      </c>
    </row>
    <row r="61" spans="1:17">
      <c r="A61" s="3">
        <v>103</v>
      </c>
      <c r="B61" s="3" t="s">
        <v>38</v>
      </c>
      <c r="C61" s="6" t="s">
        <v>47</v>
      </c>
      <c r="D61" s="3" t="s">
        <v>5</v>
      </c>
      <c r="E61" s="3">
        <v>66</v>
      </c>
      <c r="F61" s="3">
        <v>78</v>
      </c>
      <c r="G61" s="3">
        <v>90</v>
      </c>
      <c r="H61" s="4">
        <v>0.95</v>
      </c>
      <c r="I61" s="3" t="s">
        <v>20</v>
      </c>
      <c r="J61" s="3" t="str">
        <f>UPPER(C20)</f>
        <v>HYDERABAD</v>
      </c>
      <c r="K61" s="3">
        <v>0.95</v>
      </c>
      <c r="L61" s="3" t="str">
        <f>VLOOKUP(C61, Mapping!A:B, 2, FALSE)</f>
        <v>South</v>
      </c>
      <c r="M61" s="3">
        <f t="shared" si="0"/>
        <v>234</v>
      </c>
      <c r="N61" s="3">
        <f t="shared" si="1"/>
        <v>78</v>
      </c>
      <c r="O61" s="3" t="str">
        <f t="shared" si="2"/>
        <v>Average</v>
      </c>
      <c r="P61">
        <f>K61*100</f>
        <v>95</v>
      </c>
      <c r="Q61">
        <f t="shared" si="4"/>
        <v>90</v>
      </c>
    </row>
    <row r="62" spans="1:17">
      <c r="A62" s="3">
        <v>189</v>
      </c>
      <c r="B62" s="3" t="s">
        <v>91</v>
      </c>
      <c r="C62" s="6" t="s">
        <v>10</v>
      </c>
      <c r="D62" s="3" t="s">
        <v>4</v>
      </c>
      <c r="E62" s="3">
        <v>78</v>
      </c>
      <c r="F62" s="3">
        <v>58</v>
      </c>
      <c r="G62" s="3">
        <v>68</v>
      </c>
      <c r="H62" s="4">
        <v>0.79</v>
      </c>
      <c r="I62" s="3" t="s">
        <v>20</v>
      </c>
      <c r="J62" s="3" t="str">
        <f>UPPER(C34)</f>
        <v>CHENNAI</v>
      </c>
      <c r="K62" s="3">
        <v>0.79</v>
      </c>
      <c r="L62" s="3" t="str">
        <f>VLOOKUP(C62, Mapping!A:B, 2, FALSE)</f>
        <v>South</v>
      </c>
      <c r="M62" s="3">
        <f t="shared" si="0"/>
        <v>204</v>
      </c>
      <c r="N62" s="3">
        <f t="shared" si="1"/>
        <v>68</v>
      </c>
      <c r="O62" s="3" t="str">
        <f t="shared" si="2"/>
        <v>Average</v>
      </c>
      <c r="P62">
        <f t="shared" si="3"/>
        <v>79</v>
      </c>
      <c r="Q62">
        <f t="shared" si="4"/>
        <v>70</v>
      </c>
    </row>
    <row r="63" spans="1:17">
      <c r="A63" s="3">
        <v>104</v>
      </c>
      <c r="B63" s="3" t="s">
        <v>40</v>
      </c>
      <c r="C63" s="6" t="s">
        <v>10</v>
      </c>
      <c r="D63" s="3" t="s">
        <v>3</v>
      </c>
      <c r="E63" s="3">
        <v>52</v>
      </c>
      <c r="F63" s="3">
        <v>59</v>
      </c>
      <c r="G63" s="3">
        <v>78</v>
      </c>
      <c r="H63" s="4">
        <v>0.87</v>
      </c>
      <c r="I63" s="3" t="s">
        <v>20</v>
      </c>
      <c r="J63" s="3" t="str">
        <f>UPPER(C34)</f>
        <v>CHENNAI</v>
      </c>
      <c r="K63" s="3">
        <v>0.87</v>
      </c>
      <c r="L63" s="3" t="str">
        <f>VLOOKUP(C63, Mapping!A:B, 2, FALSE)</f>
        <v>South</v>
      </c>
      <c r="M63" s="3">
        <f>E63 + F63 + G63</f>
        <v>189</v>
      </c>
      <c r="N63" s="3">
        <f t="shared" si="1"/>
        <v>63</v>
      </c>
      <c r="O63" s="3" t="str">
        <f t="shared" si="2"/>
        <v>Average</v>
      </c>
      <c r="P63">
        <f t="shared" si="3"/>
        <v>87</v>
      </c>
      <c r="Q63">
        <f t="shared" si="4"/>
        <v>80</v>
      </c>
    </row>
    <row r="64" spans="1:17">
      <c r="A64" s="3">
        <v>130</v>
      </c>
      <c r="B64" s="3" t="s">
        <v>70</v>
      </c>
      <c r="C64" s="6" t="s">
        <v>9</v>
      </c>
      <c r="D64" s="3" t="s">
        <v>5</v>
      </c>
      <c r="E64" s="3">
        <v>78</v>
      </c>
      <c r="F64" s="3">
        <v>52</v>
      </c>
      <c r="G64" s="3">
        <v>66</v>
      </c>
      <c r="H64" s="4">
        <v>0.95</v>
      </c>
      <c r="I64" s="3" t="s">
        <v>20</v>
      </c>
      <c r="J64" s="3" t="str">
        <f>UPPER(C6)</f>
        <v>BANGALORE</v>
      </c>
      <c r="K64" s="3">
        <v>0.95</v>
      </c>
      <c r="L64" s="3" t="str">
        <f>VLOOKUP(C64, Mapping!A:B, 2, FALSE)</f>
        <v>South</v>
      </c>
      <c r="M64" s="3">
        <f t="shared" si="0"/>
        <v>196</v>
      </c>
      <c r="N64" s="3">
        <f t="shared" si="1"/>
        <v>65.333333333333329</v>
      </c>
      <c r="O64" s="3" t="str">
        <f t="shared" si="2"/>
        <v>Average</v>
      </c>
      <c r="P64">
        <f t="shared" si="3"/>
        <v>95</v>
      </c>
      <c r="Q64">
        <f t="shared" si="4"/>
        <v>90</v>
      </c>
    </row>
    <row r="65" spans="1:17">
      <c r="A65" s="3">
        <v>149</v>
      </c>
      <c r="B65" s="3" t="s">
        <v>89</v>
      </c>
      <c r="C65" s="6" t="s">
        <v>10</v>
      </c>
      <c r="D65" s="3" t="s">
        <v>5</v>
      </c>
      <c r="E65" s="3">
        <v>78</v>
      </c>
      <c r="F65" s="3">
        <v>59</v>
      </c>
      <c r="G65" s="3">
        <v>90</v>
      </c>
      <c r="H65" s="4">
        <v>0.95</v>
      </c>
      <c r="I65" s="3" t="s">
        <v>20</v>
      </c>
      <c r="J65" s="3" t="str">
        <f>UPPER(C34)</f>
        <v>CHENNAI</v>
      </c>
      <c r="K65" s="3">
        <v>0.95</v>
      </c>
      <c r="L65" s="3" t="str">
        <f>VLOOKUP(C65, Mapping!A:B, 2, FALSE)</f>
        <v>South</v>
      </c>
      <c r="M65" s="3">
        <f t="shared" si="0"/>
        <v>227</v>
      </c>
      <c r="N65" s="3">
        <f t="shared" si="1"/>
        <v>75.666666666666671</v>
      </c>
      <c r="O65" s="3" t="str">
        <f t="shared" si="2"/>
        <v>Average</v>
      </c>
      <c r="P65">
        <f t="shared" si="3"/>
        <v>95</v>
      </c>
      <c r="Q65">
        <f t="shared" si="4"/>
        <v>90</v>
      </c>
    </row>
    <row r="66" spans="1:17">
      <c r="A66" s="3">
        <v>29</v>
      </c>
      <c r="B66" s="3" t="s">
        <v>92</v>
      </c>
      <c r="C66" s="6" t="s">
        <v>93</v>
      </c>
      <c r="D66" s="3" t="s">
        <v>2</v>
      </c>
      <c r="E66" s="3">
        <v>90</v>
      </c>
      <c r="F66" s="3">
        <v>76</v>
      </c>
      <c r="G66" s="3">
        <v>60</v>
      </c>
      <c r="H66" s="4">
        <v>0.94</v>
      </c>
      <c r="I66" s="3" t="s">
        <v>20</v>
      </c>
      <c r="J66" s="3" t="str">
        <f>UPPER(C20)</f>
        <v>HYDERABAD</v>
      </c>
      <c r="K66" s="3">
        <v>0.94</v>
      </c>
      <c r="L66" s="3" t="str">
        <f>VLOOKUP(C66, Mapping!A:B, 2, FALSE)</f>
        <v>South</v>
      </c>
      <c r="M66" s="3">
        <f t="shared" si="0"/>
        <v>226</v>
      </c>
      <c r="N66" s="3">
        <f t="shared" si="1"/>
        <v>75.333333333333329</v>
      </c>
      <c r="O66" s="3" t="str">
        <f t="shared" si="2"/>
        <v>Average</v>
      </c>
      <c r="P66">
        <f t="shared" si="3"/>
        <v>94</v>
      </c>
      <c r="Q66">
        <f t="shared" si="4"/>
        <v>90</v>
      </c>
    </row>
    <row r="67" spans="1:17">
      <c r="A67" s="3">
        <v>140</v>
      </c>
      <c r="B67" s="3" t="s">
        <v>80</v>
      </c>
      <c r="C67" s="6" t="s">
        <v>42</v>
      </c>
      <c r="D67" s="3" t="s">
        <v>3</v>
      </c>
      <c r="E67" s="3">
        <v>59</v>
      </c>
      <c r="F67" s="3">
        <v>90</v>
      </c>
      <c r="G67" s="3">
        <v>59</v>
      </c>
      <c r="H67" s="4">
        <v>0.87</v>
      </c>
      <c r="I67" s="3" t="s">
        <v>20</v>
      </c>
      <c r="J67" s="3" t="str">
        <f>UPPER(C18)</f>
        <v>BANGALORE</v>
      </c>
      <c r="K67" s="3">
        <v>0.87</v>
      </c>
      <c r="L67" s="3" t="str">
        <f>VLOOKUP(C67, Mapping!A:B, 2, FALSE)</f>
        <v>South</v>
      </c>
      <c r="M67" s="3">
        <f t="shared" ref="M67:M82" si="5">E67 + F67 + G67</f>
        <v>208</v>
      </c>
      <c r="N67" s="3">
        <f t="shared" ref="N67:N68" si="6">AVERAGE(E67, F67, G67)</f>
        <v>69.333333333333329</v>
      </c>
      <c r="O67" s="3" t="str">
        <f t="shared" ref="O67:O73" si="7">IF(N67&gt;80,"Top",IF(N67&gt;60,"Average","Low"))</f>
        <v>Average</v>
      </c>
      <c r="P67">
        <f t="shared" ref="P67:P75" si="8">K67*100</f>
        <v>87</v>
      </c>
      <c r="Q67">
        <f t="shared" ref="Q67:Q130" si="9">FLOOR(P67,10)</f>
        <v>80</v>
      </c>
    </row>
    <row r="68" spans="1:17">
      <c r="A68" s="3">
        <v>106</v>
      </c>
      <c r="B68" s="3" t="s">
        <v>57</v>
      </c>
      <c r="C68" s="6" t="s">
        <v>9</v>
      </c>
      <c r="D68" s="3" t="s">
        <v>3</v>
      </c>
      <c r="E68" s="3">
        <v>90</v>
      </c>
      <c r="F68" s="3">
        <v>66</v>
      </c>
      <c r="G68" s="3">
        <v>66</v>
      </c>
      <c r="H68" s="4">
        <v>0.9</v>
      </c>
      <c r="I68" s="3" t="s">
        <v>20</v>
      </c>
      <c r="J68" s="3" t="str">
        <f>UPPER(C18)</f>
        <v>BANGALORE</v>
      </c>
      <c r="K68" s="3">
        <v>0.9</v>
      </c>
      <c r="L68" s="3" t="str">
        <f>VLOOKUP(C68, Mapping!A:B, 2, FALSE)</f>
        <v>South</v>
      </c>
      <c r="M68" s="3">
        <f t="shared" si="5"/>
        <v>222</v>
      </c>
      <c r="N68" s="3">
        <f t="shared" si="6"/>
        <v>74</v>
      </c>
      <c r="O68" s="3" t="str">
        <f t="shared" si="7"/>
        <v>Average</v>
      </c>
      <c r="P68">
        <f t="shared" si="8"/>
        <v>90</v>
      </c>
      <c r="Q68">
        <f t="shared" si="9"/>
        <v>90</v>
      </c>
    </row>
    <row r="69" spans="1:17">
      <c r="A69" s="3">
        <v>104</v>
      </c>
      <c r="B69" s="3" t="s">
        <v>40</v>
      </c>
      <c r="C69" s="6" t="s">
        <v>9</v>
      </c>
      <c r="D69" s="3" t="s">
        <v>5</v>
      </c>
      <c r="E69" s="3">
        <v>52</v>
      </c>
      <c r="F69" s="3">
        <v>59</v>
      </c>
      <c r="G69" s="3">
        <v>78</v>
      </c>
      <c r="H69" s="4" t="s">
        <v>45</v>
      </c>
      <c r="I69" s="3" t="s">
        <v>20</v>
      </c>
      <c r="J69" s="3" t="str">
        <f>UPPER(C6)</f>
        <v>BANGALORE</v>
      </c>
      <c r="K69" s="3">
        <v>0.85</v>
      </c>
      <c r="L69" s="3" t="str">
        <f>VLOOKUP(C69, Mapping!A:B, 2, FALSE)</f>
        <v>South</v>
      </c>
      <c r="M69" s="3">
        <f t="shared" si="5"/>
        <v>189</v>
      </c>
      <c r="N69" s="3">
        <f>AVERAGE(E69, F69, G69)</f>
        <v>63</v>
      </c>
      <c r="O69" s="3" t="str">
        <f t="shared" si="7"/>
        <v>Average</v>
      </c>
      <c r="P69">
        <f t="shared" si="8"/>
        <v>85</v>
      </c>
      <c r="Q69">
        <f t="shared" si="9"/>
        <v>80</v>
      </c>
    </row>
    <row r="70" spans="1:17">
      <c r="A70" s="3">
        <v>146</v>
      </c>
      <c r="B70" s="3" t="s">
        <v>86</v>
      </c>
      <c r="C70" s="6" t="s">
        <v>10</v>
      </c>
      <c r="D70" s="3" t="s">
        <v>4</v>
      </c>
      <c r="E70" s="3">
        <v>52</v>
      </c>
      <c r="F70" s="3">
        <v>66</v>
      </c>
      <c r="G70" s="3">
        <v>66</v>
      </c>
      <c r="H70" s="4">
        <v>0.79</v>
      </c>
      <c r="I70" s="3" t="s">
        <v>20</v>
      </c>
      <c r="J70" s="3" t="str">
        <f>UPPER(C34)</f>
        <v>CHENNAI</v>
      </c>
      <c r="K70" s="3">
        <v>0.79</v>
      </c>
      <c r="L70" s="3" t="str">
        <f>VLOOKUP(C70, Mapping!A:B, 2, FALSE)</f>
        <v>South</v>
      </c>
      <c r="M70" s="3">
        <f t="shared" si="5"/>
        <v>184</v>
      </c>
      <c r="N70" s="3">
        <f t="shared" ref="N70:N87" si="10">AVERAGE(E70, F70, G70)</f>
        <v>61.333333333333336</v>
      </c>
      <c r="O70" s="3" t="str">
        <f t="shared" si="7"/>
        <v>Average</v>
      </c>
      <c r="P70">
        <f t="shared" si="8"/>
        <v>79</v>
      </c>
      <c r="Q70">
        <f t="shared" si="9"/>
        <v>70</v>
      </c>
    </row>
    <row r="71" spans="1:17">
      <c r="A71" s="3">
        <v>103</v>
      </c>
      <c r="B71" s="3" t="s">
        <v>38</v>
      </c>
      <c r="C71" s="6" t="s">
        <v>47</v>
      </c>
      <c r="D71" s="3" t="s">
        <v>5</v>
      </c>
      <c r="E71" s="3">
        <v>66</v>
      </c>
      <c r="F71" s="3">
        <v>78</v>
      </c>
      <c r="G71" s="3">
        <v>90</v>
      </c>
      <c r="H71" s="4" t="s">
        <v>39</v>
      </c>
      <c r="I71" s="3" t="s">
        <v>20</v>
      </c>
      <c r="J71" s="3" t="str">
        <f>UPPER(C20)</f>
        <v>HYDERABAD</v>
      </c>
      <c r="K71" s="3">
        <v>0.79</v>
      </c>
      <c r="L71" s="3" t="str">
        <f>VLOOKUP(C71, Mapping!A:B, 2, FALSE)</f>
        <v>South</v>
      </c>
      <c r="M71" s="3">
        <f t="shared" si="5"/>
        <v>234</v>
      </c>
      <c r="N71" s="3">
        <f t="shared" si="10"/>
        <v>78</v>
      </c>
      <c r="O71" s="3" t="str">
        <f t="shared" si="7"/>
        <v>Average</v>
      </c>
      <c r="P71">
        <f t="shared" si="8"/>
        <v>79</v>
      </c>
      <c r="Q71">
        <f t="shared" si="9"/>
        <v>70</v>
      </c>
    </row>
    <row r="72" spans="1:17">
      <c r="A72" s="3">
        <v>57</v>
      </c>
      <c r="B72" s="3" t="s">
        <v>94</v>
      </c>
      <c r="C72" s="6" t="s">
        <v>9</v>
      </c>
      <c r="D72" s="3" t="s">
        <v>4</v>
      </c>
      <c r="E72" s="3">
        <v>98</v>
      </c>
      <c r="F72" s="3">
        <v>57</v>
      </c>
      <c r="G72" s="3">
        <v>86</v>
      </c>
      <c r="H72" s="4">
        <v>0.78</v>
      </c>
      <c r="I72" s="3" t="s">
        <v>20</v>
      </c>
      <c r="J72" s="3" t="str">
        <f>UPPER(C18)</f>
        <v>BANGALORE</v>
      </c>
      <c r="K72" s="3">
        <v>0.78</v>
      </c>
      <c r="L72" s="3" t="str">
        <f>VLOOKUP(C72, Mapping!A:B, 2, FALSE)</f>
        <v>South</v>
      </c>
      <c r="M72" s="3">
        <f t="shared" si="5"/>
        <v>241</v>
      </c>
      <c r="N72" s="3">
        <f t="shared" si="10"/>
        <v>80.333333333333329</v>
      </c>
      <c r="O72" s="3" t="str">
        <f t="shared" si="7"/>
        <v>Top</v>
      </c>
      <c r="P72">
        <f t="shared" si="8"/>
        <v>78</v>
      </c>
      <c r="Q72">
        <f t="shared" si="9"/>
        <v>70</v>
      </c>
    </row>
    <row r="73" spans="1:17">
      <c r="A73" s="3">
        <v>149</v>
      </c>
      <c r="B73" s="3" t="s">
        <v>89</v>
      </c>
      <c r="C73" s="6" t="s">
        <v>10</v>
      </c>
      <c r="D73" s="3" t="s">
        <v>5</v>
      </c>
      <c r="E73" s="3">
        <v>78</v>
      </c>
      <c r="F73" s="3">
        <v>59</v>
      </c>
      <c r="G73" s="3">
        <v>90</v>
      </c>
      <c r="H73" s="4" t="s">
        <v>51</v>
      </c>
      <c r="I73" s="3" t="s">
        <v>20</v>
      </c>
      <c r="J73" s="3" t="str">
        <f>UPPER(C34)</f>
        <v>CHENNAI</v>
      </c>
      <c r="K73" s="3">
        <v>0.92</v>
      </c>
      <c r="L73" s="3" t="str">
        <f>VLOOKUP(C73, Mapping!A:B, 2, FALSE)</f>
        <v>South</v>
      </c>
      <c r="M73" s="3">
        <f t="shared" si="5"/>
        <v>227</v>
      </c>
      <c r="N73" s="3">
        <f t="shared" si="10"/>
        <v>75.666666666666671</v>
      </c>
      <c r="O73" s="3" t="str">
        <f t="shared" si="7"/>
        <v>Average</v>
      </c>
      <c r="P73">
        <f t="shared" si="8"/>
        <v>92</v>
      </c>
      <c r="Q73">
        <f t="shared" si="9"/>
        <v>90</v>
      </c>
    </row>
    <row r="74" spans="1:17">
      <c r="A74" s="3">
        <v>106</v>
      </c>
      <c r="B74" s="3" t="s">
        <v>82</v>
      </c>
      <c r="C74" s="6" t="s">
        <v>9</v>
      </c>
      <c r="D74" s="3" t="s">
        <v>4</v>
      </c>
      <c r="E74" s="3">
        <v>74</v>
      </c>
      <c r="F74" s="3">
        <v>66</v>
      </c>
      <c r="G74" s="3">
        <v>59</v>
      </c>
      <c r="H74" s="4">
        <v>0.82</v>
      </c>
      <c r="I74" s="3" t="s">
        <v>20</v>
      </c>
      <c r="J74" s="3" t="str">
        <f>UPPER(C18)</f>
        <v>BANGALORE</v>
      </c>
      <c r="K74" s="3">
        <v>0.82</v>
      </c>
      <c r="L74" s="3" t="str">
        <f>VLOOKUP(C74, Mapping!A:B, 2, FALSE)</f>
        <v>South</v>
      </c>
      <c r="M74" s="3">
        <f t="shared" si="5"/>
        <v>199</v>
      </c>
      <c r="N74" s="3">
        <f t="shared" si="10"/>
        <v>66.333333333333329</v>
      </c>
      <c r="O74" s="3" t="str">
        <f>IF(N74&gt;80,"Top",IF(N74&gt;60,"Average","Low"))</f>
        <v>Average</v>
      </c>
      <c r="P74">
        <f t="shared" si="8"/>
        <v>82</v>
      </c>
      <c r="Q74">
        <f t="shared" si="9"/>
        <v>80</v>
      </c>
    </row>
    <row r="75" spans="1:17">
      <c r="A75" s="3">
        <v>130</v>
      </c>
      <c r="B75" s="3" t="s">
        <v>70</v>
      </c>
      <c r="C75" s="6" t="s">
        <v>42</v>
      </c>
      <c r="D75" s="3" t="s">
        <v>5</v>
      </c>
      <c r="E75" s="3">
        <v>78</v>
      </c>
      <c r="F75" s="3">
        <v>52</v>
      </c>
      <c r="G75" s="3">
        <v>66</v>
      </c>
      <c r="H75" s="4">
        <v>0.95</v>
      </c>
      <c r="I75" s="3" t="s">
        <v>20</v>
      </c>
      <c r="J75" s="3" t="str">
        <f>UPPER(C18)</f>
        <v>BANGALORE</v>
      </c>
      <c r="K75" s="3">
        <v>0.95</v>
      </c>
      <c r="L75" s="3" t="str">
        <f>VLOOKUP(C75, Mapping!A:B, 2, FALSE)</f>
        <v>South</v>
      </c>
      <c r="M75" s="3">
        <f t="shared" si="5"/>
        <v>196</v>
      </c>
      <c r="N75" s="3">
        <f t="shared" si="10"/>
        <v>65.333333333333329</v>
      </c>
      <c r="O75" s="3" t="str">
        <f t="shared" ref="O75:O88" si="11">IF(N75&gt;80,"Top",IF(N75&gt;60,"Average","Low"))</f>
        <v>Average</v>
      </c>
      <c r="P75">
        <f t="shared" si="8"/>
        <v>95</v>
      </c>
      <c r="Q75">
        <f t="shared" si="9"/>
        <v>90</v>
      </c>
    </row>
    <row r="76" spans="1:17">
      <c r="A76" s="3">
        <v>124</v>
      </c>
      <c r="B76" s="3" t="s">
        <v>64</v>
      </c>
      <c r="C76" s="6" t="s">
        <v>42</v>
      </c>
      <c r="D76" s="3" t="s">
        <v>5</v>
      </c>
      <c r="E76" s="3">
        <v>74</v>
      </c>
      <c r="F76" s="3">
        <v>66</v>
      </c>
      <c r="G76" s="3">
        <v>78</v>
      </c>
      <c r="H76" s="4">
        <v>0.9</v>
      </c>
      <c r="I76" s="3" t="s">
        <v>20</v>
      </c>
      <c r="J76" s="3" t="str">
        <f>UPPER(C18)</f>
        <v>BANGALORE</v>
      </c>
      <c r="K76" s="3">
        <v>0.9</v>
      </c>
      <c r="L76" s="3" t="str">
        <f>VLOOKUP(C76, Mapping!A:B, 2, FALSE)</f>
        <v>South</v>
      </c>
      <c r="M76" s="3">
        <f t="shared" si="5"/>
        <v>218</v>
      </c>
      <c r="N76" s="3">
        <f t="shared" si="10"/>
        <v>72.666666666666671</v>
      </c>
      <c r="O76" s="3" t="str">
        <f t="shared" si="11"/>
        <v>Average</v>
      </c>
      <c r="P76">
        <f>K76*100</f>
        <v>90</v>
      </c>
      <c r="Q76">
        <f t="shared" si="9"/>
        <v>90</v>
      </c>
    </row>
    <row r="77" spans="1:17">
      <c r="A77" s="3">
        <v>120</v>
      </c>
      <c r="B77" s="3" t="s">
        <v>60</v>
      </c>
      <c r="C77" s="6" t="s">
        <v>42</v>
      </c>
      <c r="D77" s="3" t="s">
        <v>5</v>
      </c>
      <c r="E77" s="3">
        <v>74</v>
      </c>
      <c r="F77" s="3">
        <v>74</v>
      </c>
      <c r="G77" s="3">
        <v>59</v>
      </c>
      <c r="H77" s="4">
        <v>0.82</v>
      </c>
      <c r="I77" s="3" t="s">
        <v>20</v>
      </c>
      <c r="J77" s="3" t="str">
        <f>UPPER(C18)</f>
        <v>BANGALORE</v>
      </c>
      <c r="K77" s="3">
        <v>0.82</v>
      </c>
      <c r="L77" s="3" t="str">
        <f>VLOOKUP(C77, Mapping!A:B, 2, FALSE)</f>
        <v>South</v>
      </c>
      <c r="M77" s="3">
        <f t="shared" si="5"/>
        <v>207</v>
      </c>
      <c r="N77" s="3">
        <f t="shared" si="10"/>
        <v>69</v>
      </c>
      <c r="O77" s="3" t="str">
        <f t="shared" si="11"/>
        <v>Average</v>
      </c>
      <c r="P77">
        <f t="shared" ref="P77:P95" si="12">K77*100</f>
        <v>82</v>
      </c>
      <c r="Q77">
        <f t="shared" si="9"/>
        <v>80</v>
      </c>
    </row>
    <row r="78" spans="1:17">
      <c r="A78" s="3">
        <v>148</v>
      </c>
      <c r="B78" s="3" t="s">
        <v>88</v>
      </c>
      <c r="C78" s="6" t="s">
        <v>42</v>
      </c>
      <c r="D78" s="3" t="s">
        <v>4</v>
      </c>
      <c r="E78" s="3">
        <v>90</v>
      </c>
      <c r="F78" s="3">
        <v>59</v>
      </c>
      <c r="G78" s="3">
        <v>78</v>
      </c>
      <c r="H78" s="4" t="s">
        <v>39</v>
      </c>
      <c r="I78" s="3" t="s">
        <v>20</v>
      </c>
      <c r="J78" s="3" t="str">
        <f>UPPER(C18)</f>
        <v>BANGALORE</v>
      </c>
      <c r="K78" s="3">
        <v>0.79</v>
      </c>
      <c r="L78" s="3" t="str">
        <f>VLOOKUP(C78, Mapping!A:B, 2, FALSE)</f>
        <v>South</v>
      </c>
      <c r="M78" s="3">
        <f t="shared" si="5"/>
        <v>227</v>
      </c>
      <c r="N78" s="3">
        <f t="shared" si="10"/>
        <v>75.666666666666671</v>
      </c>
      <c r="O78" s="3" t="str">
        <f t="shared" si="11"/>
        <v>Average</v>
      </c>
      <c r="P78">
        <f t="shared" si="12"/>
        <v>79</v>
      </c>
      <c r="Q78">
        <f t="shared" si="9"/>
        <v>70</v>
      </c>
    </row>
    <row r="79" spans="1:17">
      <c r="A79" s="3">
        <v>146</v>
      </c>
      <c r="B79" s="3" t="s">
        <v>86</v>
      </c>
      <c r="C79" s="6" t="s">
        <v>9</v>
      </c>
      <c r="D79" s="3" t="s">
        <v>5</v>
      </c>
      <c r="E79" s="3">
        <v>52</v>
      </c>
      <c r="F79" s="3">
        <v>66</v>
      </c>
      <c r="G79" s="3">
        <v>66</v>
      </c>
      <c r="H79" s="4">
        <v>0.79</v>
      </c>
      <c r="I79" s="3" t="s">
        <v>20</v>
      </c>
      <c r="J79" s="3" t="str">
        <f>UPPER(C18)</f>
        <v>BANGALORE</v>
      </c>
      <c r="K79" s="3">
        <v>0.79</v>
      </c>
      <c r="L79" s="3" t="str">
        <f>VLOOKUP(C79, Mapping!A:B, 2, FALSE)</f>
        <v>South</v>
      </c>
      <c r="M79" s="3">
        <f t="shared" si="5"/>
        <v>184</v>
      </c>
      <c r="N79" s="3">
        <f t="shared" si="10"/>
        <v>61.333333333333336</v>
      </c>
      <c r="O79" s="3" t="str">
        <f t="shared" si="11"/>
        <v>Average</v>
      </c>
      <c r="P79">
        <f t="shared" si="12"/>
        <v>79</v>
      </c>
      <c r="Q79">
        <f t="shared" si="9"/>
        <v>70</v>
      </c>
    </row>
    <row r="80" spans="1:17">
      <c r="A80" s="3">
        <v>78</v>
      </c>
      <c r="B80" s="3" t="s">
        <v>95</v>
      </c>
      <c r="C80" s="6" t="s">
        <v>12</v>
      </c>
      <c r="D80" s="3" t="s">
        <v>5</v>
      </c>
      <c r="E80" s="3">
        <v>99</v>
      </c>
      <c r="F80" s="3">
        <v>76</v>
      </c>
      <c r="G80" s="3">
        <v>89</v>
      </c>
      <c r="H80" s="4">
        <v>0.9</v>
      </c>
      <c r="I80" s="3" t="s">
        <v>20</v>
      </c>
      <c r="J80" s="3" t="s">
        <v>12</v>
      </c>
      <c r="K80" s="3">
        <v>0.9</v>
      </c>
      <c r="L80" s="3" t="str">
        <f>VLOOKUP(C80, Mapping!A:B, 2, FALSE)</f>
        <v>West</v>
      </c>
      <c r="M80" s="3">
        <f t="shared" si="5"/>
        <v>264</v>
      </c>
      <c r="N80" s="3">
        <f t="shared" si="10"/>
        <v>88</v>
      </c>
      <c r="O80" s="3" t="str">
        <f t="shared" si="11"/>
        <v>Top</v>
      </c>
      <c r="P80">
        <f t="shared" si="12"/>
        <v>90</v>
      </c>
      <c r="Q80">
        <f t="shared" si="9"/>
        <v>90</v>
      </c>
    </row>
    <row r="81" spans="1:17">
      <c r="A81" s="3">
        <v>130</v>
      </c>
      <c r="B81" s="3" t="s">
        <v>70</v>
      </c>
      <c r="C81" s="6" t="s">
        <v>10</v>
      </c>
      <c r="D81" s="3" t="s">
        <v>5</v>
      </c>
      <c r="E81" s="3">
        <v>78</v>
      </c>
      <c r="F81" s="3">
        <v>52</v>
      </c>
      <c r="G81" s="3">
        <v>66</v>
      </c>
      <c r="H81" s="4" t="s">
        <v>45</v>
      </c>
      <c r="I81" s="3" t="s">
        <v>20</v>
      </c>
      <c r="J81" s="3" t="str">
        <f>UPPER(C34)</f>
        <v>CHENNAI</v>
      </c>
      <c r="K81" s="3">
        <v>0.85</v>
      </c>
      <c r="L81" s="3" t="str">
        <f>VLOOKUP(C81, Mapping!A:B, 2, FALSE)</f>
        <v>South</v>
      </c>
      <c r="M81" s="3">
        <f t="shared" si="5"/>
        <v>196</v>
      </c>
      <c r="N81" s="3">
        <f t="shared" si="10"/>
        <v>65.333333333333329</v>
      </c>
      <c r="O81" s="3" t="str">
        <f t="shared" si="11"/>
        <v>Average</v>
      </c>
      <c r="P81">
        <f t="shared" si="12"/>
        <v>85</v>
      </c>
      <c r="Q81">
        <f t="shared" si="9"/>
        <v>80</v>
      </c>
    </row>
    <row r="82" spans="1:17">
      <c r="A82" s="3">
        <v>140</v>
      </c>
      <c r="B82" s="3" t="s">
        <v>80</v>
      </c>
      <c r="C82" s="6" t="s">
        <v>9</v>
      </c>
      <c r="D82" s="3" t="s">
        <v>3</v>
      </c>
      <c r="E82" s="3">
        <v>59</v>
      </c>
      <c r="F82" s="3">
        <v>90</v>
      </c>
      <c r="G82" s="3">
        <v>59</v>
      </c>
      <c r="H82" s="4">
        <v>0.87</v>
      </c>
      <c r="I82" s="3" t="s">
        <v>20</v>
      </c>
      <c r="J82" s="3" t="str">
        <f>UPPER(C6)</f>
        <v>BANGALORE</v>
      </c>
      <c r="K82" s="3">
        <v>0.87</v>
      </c>
      <c r="L82" s="3" t="str">
        <f>VLOOKUP(C82, Mapping!A:B, 2, FALSE)</f>
        <v>South</v>
      </c>
      <c r="M82" s="3">
        <f t="shared" si="5"/>
        <v>208</v>
      </c>
      <c r="N82" s="3">
        <f t="shared" si="10"/>
        <v>69.333333333333329</v>
      </c>
      <c r="O82" s="3" t="str">
        <f t="shared" si="11"/>
        <v>Average</v>
      </c>
      <c r="P82">
        <f t="shared" si="12"/>
        <v>87</v>
      </c>
      <c r="Q82">
        <f t="shared" si="9"/>
        <v>80</v>
      </c>
    </row>
    <row r="83" spans="1:17">
      <c r="A83" s="3">
        <v>108</v>
      </c>
      <c r="B83" s="3" t="s">
        <v>66</v>
      </c>
      <c r="C83" s="6" t="s">
        <v>10</v>
      </c>
      <c r="D83" s="3" t="s">
        <v>4</v>
      </c>
      <c r="E83" s="3">
        <v>59</v>
      </c>
      <c r="F83" s="3">
        <v>59</v>
      </c>
      <c r="G83" s="3">
        <v>66</v>
      </c>
      <c r="H83" s="4">
        <v>0.79</v>
      </c>
      <c r="I83" s="3" t="s">
        <v>20</v>
      </c>
      <c r="J83" s="3" t="str">
        <f>UPPER(C34)</f>
        <v>CHENNAI</v>
      </c>
      <c r="K83" s="3">
        <v>0.79</v>
      </c>
      <c r="L83" s="3" t="str">
        <f>VLOOKUP(C83, Mapping!A:B, 2, FALSE)</f>
        <v>South</v>
      </c>
      <c r="M83" s="3">
        <f>E83 + F83 + G83</f>
        <v>184</v>
      </c>
      <c r="N83" s="3">
        <f t="shared" si="10"/>
        <v>61.333333333333336</v>
      </c>
      <c r="O83" s="3" t="str">
        <f t="shared" si="11"/>
        <v>Average</v>
      </c>
      <c r="P83">
        <f t="shared" si="12"/>
        <v>79</v>
      </c>
      <c r="Q83">
        <f t="shared" si="9"/>
        <v>70</v>
      </c>
    </row>
    <row r="84" spans="1:17">
      <c r="A84" s="3">
        <v>146</v>
      </c>
      <c r="B84" s="3" t="s">
        <v>86</v>
      </c>
      <c r="C84" s="6" t="s">
        <v>9</v>
      </c>
      <c r="D84" s="3" t="s">
        <v>4</v>
      </c>
      <c r="E84" s="3">
        <v>52</v>
      </c>
      <c r="F84" s="3">
        <v>66</v>
      </c>
      <c r="G84" s="3">
        <v>66</v>
      </c>
      <c r="H84" s="4">
        <v>0.79</v>
      </c>
      <c r="I84" s="3" t="s">
        <v>20</v>
      </c>
      <c r="J84" s="3" t="str">
        <f>UPPER(C18)</f>
        <v>BANGALORE</v>
      </c>
      <c r="K84" s="3">
        <v>0.79</v>
      </c>
      <c r="L84" s="3" t="str">
        <f>VLOOKUP(C84, Mapping!A:B, 2, FALSE)</f>
        <v>South</v>
      </c>
      <c r="M84" s="3">
        <f t="shared" ref="M84:M107" si="13">E84 + F84 + G84</f>
        <v>184</v>
      </c>
      <c r="N84" s="3">
        <f t="shared" si="10"/>
        <v>61.333333333333336</v>
      </c>
      <c r="O84" s="3" t="str">
        <f t="shared" si="11"/>
        <v>Average</v>
      </c>
      <c r="P84">
        <f t="shared" si="12"/>
        <v>79</v>
      </c>
      <c r="Q84">
        <f t="shared" si="9"/>
        <v>70</v>
      </c>
    </row>
    <row r="85" spans="1:17">
      <c r="A85" s="3">
        <v>288</v>
      </c>
      <c r="B85" s="3" t="s">
        <v>96</v>
      </c>
      <c r="C85" s="6" t="s">
        <v>10</v>
      </c>
      <c r="D85" s="3" t="s">
        <v>4</v>
      </c>
      <c r="E85" s="3">
        <v>68</v>
      </c>
      <c r="F85" s="3">
        <v>89</v>
      </c>
      <c r="G85" s="3">
        <v>70</v>
      </c>
      <c r="H85" s="4">
        <v>0.88</v>
      </c>
      <c r="I85" s="3" t="s">
        <v>20</v>
      </c>
      <c r="J85" s="3" t="str">
        <f>UPPER(C34)</f>
        <v>CHENNAI</v>
      </c>
      <c r="K85" s="3">
        <v>0.88</v>
      </c>
      <c r="L85" s="3" t="str">
        <f>VLOOKUP(C85, Mapping!A:B, 2, FALSE)</f>
        <v>South</v>
      </c>
      <c r="M85" s="3">
        <f t="shared" si="13"/>
        <v>227</v>
      </c>
      <c r="N85" s="3">
        <f t="shared" si="10"/>
        <v>75.666666666666671</v>
      </c>
      <c r="O85" s="3" t="str">
        <f t="shared" si="11"/>
        <v>Average</v>
      </c>
      <c r="P85">
        <f t="shared" si="12"/>
        <v>88</v>
      </c>
      <c r="Q85">
        <f t="shared" si="9"/>
        <v>80</v>
      </c>
    </row>
    <row r="86" spans="1:17">
      <c r="A86" s="3">
        <v>106</v>
      </c>
      <c r="B86" s="3" t="s">
        <v>57</v>
      </c>
      <c r="C86" s="6" t="s">
        <v>42</v>
      </c>
      <c r="D86" s="3" t="s">
        <v>3</v>
      </c>
      <c r="E86" s="3">
        <v>90</v>
      </c>
      <c r="F86" s="3">
        <v>66</v>
      </c>
      <c r="G86" s="3">
        <v>66</v>
      </c>
      <c r="H86" s="4" t="s">
        <v>51</v>
      </c>
      <c r="I86" s="3" t="s">
        <v>20</v>
      </c>
      <c r="J86" s="3" t="str">
        <f>UPPER(C18)</f>
        <v>BANGALORE</v>
      </c>
      <c r="K86" s="3">
        <v>0.92</v>
      </c>
      <c r="L86" s="3" t="str">
        <f>VLOOKUP(C86, Mapping!A:B, 2, FALSE)</f>
        <v>South</v>
      </c>
      <c r="M86" s="3">
        <f t="shared" si="13"/>
        <v>222</v>
      </c>
      <c r="N86" s="3">
        <f t="shared" si="10"/>
        <v>74</v>
      </c>
      <c r="O86" s="3" t="str">
        <f t="shared" si="11"/>
        <v>Average</v>
      </c>
      <c r="P86">
        <f t="shared" si="12"/>
        <v>92</v>
      </c>
      <c r="Q86">
        <f t="shared" si="9"/>
        <v>90</v>
      </c>
    </row>
    <row r="87" spans="1:17">
      <c r="A87" s="3">
        <v>104</v>
      </c>
      <c r="B87" s="3" t="s">
        <v>40</v>
      </c>
      <c r="C87" s="6" t="s">
        <v>10</v>
      </c>
      <c r="D87" s="3" t="s">
        <v>5</v>
      </c>
      <c r="E87" s="3">
        <v>52</v>
      </c>
      <c r="F87" s="3">
        <v>59</v>
      </c>
      <c r="G87" s="3">
        <v>78</v>
      </c>
      <c r="H87" s="4">
        <v>0.87</v>
      </c>
      <c r="I87" s="3" t="s">
        <v>20</v>
      </c>
      <c r="J87" s="3" t="str">
        <f>UPPER(C34)</f>
        <v>CHENNAI</v>
      </c>
      <c r="K87" s="3">
        <v>0.87</v>
      </c>
      <c r="L87" s="3" t="str">
        <f>VLOOKUP(C87, Mapping!A:B, 2, FALSE)</f>
        <v>South</v>
      </c>
      <c r="M87" s="3">
        <f t="shared" si="13"/>
        <v>189</v>
      </c>
      <c r="N87" s="3">
        <f t="shared" si="10"/>
        <v>63</v>
      </c>
      <c r="O87" s="3" t="str">
        <f t="shared" si="11"/>
        <v>Average</v>
      </c>
      <c r="P87">
        <f t="shared" si="12"/>
        <v>87</v>
      </c>
      <c r="Q87">
        <f t="shared" si="9"/>
        <v>80</v>
      </c>
    </row>
    <row r="88" spans="1:17">
      <c r="A88" s="3">
        <v>118</v>
      </c>
      <c r="B88" s="3" t="s">
        <v>58</v>
      </c>
      <c r="C88" s="6" t="s">
        <v>9</v>
      </c>
      <c r="D88" s="3" t="s">
        <v>4</v>
      </c>
      <c r="E88" s="3">
        <v>59</v>
      </c>
      <c r="F88" s="3">
        <v>86</v>
      </c>
      <c r="G88" s="3">
        <v>90</v>
      </c>
      <c r="H88" s="4">
        <v>0.95</v>
      </c>
      <c r="I88" s="3" t="s">
        <v>20</v>
      </c>
      <c r="J88" s="3" t="str">
        <f>UPPER(C18)</f>
        <v>BANGALORE</v>
      </c>
      <c r="K88" s="3">
        <v>0.95</v>
      </c>
      <c r="L88" s="3" t="str">
        <f>VLOOKUP(C88, Mapping!A:B, 2, FALSE)</f>
        <v>South</v>
      </c>
      <c r="M88" s="3">
        <f t="shared" si="13"/>
        <v>235</v>
      </c>
      <c r="N88" s="3">
        <f>AVERAGE(E88, F88, G88)</f>
        <v>78.333333333333329</v>
      </c>
      <c r="O88" s="3" t="str">
        <f t="shared" si="11"/>
        <v>Average</v>
      </c>
      <c r="P88">
        <f t="shared" si="12"/>
        <v>95</v>
      </c>
      <c r="Q88">
        <f t="shared" si="9"/>
        <v>90</v>
      </c>
    </row>
    <row r="89" spans="1:17">
      <c r="A89" s="3">
        <v>580</v>
      </c>
      <c r="B89" s="3" t="s">
        <v>97</v>
      </c>
      <c r="C89" s="6" t="s">
        <v>12</v>
      </c>
      <c r="D89" s="3" t="s">
        <v>5</v>
      </c>
      <c r="E89" s="3">
        <v>68</v>
      </c>
      <c r="F89" s="3">
        <v>79</v>
      </c>
      <c r="G89" s="3">
        <v>98</v>
      </c>
      <c r="H89" s="4">
        <v>0.94</v>
      </c>
      <c r="I89" s="3" t="s">
        <v>20</v>
      </c>
      <c r="J89" s="3" t="s">
        <v>12</v>
      </c>
      <c r="K89" s="3">
        <v>0.94</v>
      </c>
      <c r="L89" s="3" t="str">
        <f>VLOOKUP(C89, Mapping!A:B, 2, FALSE)</f>
        <v>West</v>
      </c>
      <c r="M89" s="3">
        <f t="shared" si="13"/>
        <v>245</v>
      </c>
      <c r="N89" s="3">
        <f t="shared" ref="N89:N104" si="14">AVERAGE(E89, F89, G89)</f>
        <v>81.666666666666671</v>
      </c>
      <c r="O89" s="3" t="str">
        <f>IF(N89&gt;80,"Top",IF(N89&gt;60,"Average","Low"))</f>
        <v>Top</v>
      </c>
      <c r="P89">
        <f t="shared" si="12"/>
        <v>94</v>
      </c>
      <c r="Q89">
        <f t="shared" si="9"/>
        <v>90</v>
      </c>
    </row>
    <row r="90" spans="1:17">
      <c r="A90" s="3">
        <v>108</v>
      </c>
      <c r="B90" s="3" t="s">
        <v>66</v>
      </c>
      <c r="C90" s="6" t="s">
        <v>10</v>
      </c>
      <c r="D90" s="3" t="s">
        <v>5</v>
      </c>
      <c r="E90" s="3">
        <v>59</v>
      </c>
      <c r="F90" s="3">
        <v>59</v>
      </c>
      <c r="G90" s="3">
        <v>66</v>
      </c>
      <c r="H90" s="4">
        <v>0.79</v>
      </c>
      <c r="I90" s="3" t="s">
        <v>20</v>
      </c>
      <c r="J90" s="3" t="str">
        <f>UPPER(C34)</f>
        <v>CHENNAI</v>
      </c>
      <c r="K90" s="3">
        <v>0.79</v>
      </c>
      <c r="L90" s="3" t="str">
        <f>VLOOKUP(C90, Mapping!A:B, 2, FALSE)</f>
        <v>South</v>
      </c>
      <c r="M90" s="3">
        <f t="shared" si="13"/>
        <v>184</v>
      </c>
      <c r="N90" s="3">
        <f t="shared" si="14"/>
        <v>61.333333333333336</v>
      </c>
      <c r="O90" s="3" t="str">
        <f t="shared" ref="O90:O101" si="15">IF(N90&gt;80,"Top",IF(N90&gt;60,"Average","Low"))</f>
        <v>Average</v>
      </c>
      <c r="P90">
        <f t="shared" si="12"/>
        <v>79</v>
      </c>
      <c r="Q90">
        <f t="shared" si="9"/>
        <v>70</v>
      </c>
    </row>
    <row r="91" spans="1:17">
      <c r="A91" s="3">
        <v>190</v>
      </c>
      <c r="B91" s="3" t="s">
        <v>98</v>
      </c>
      <c r="C91" s="6" t="s">
        <v>10</v>
      </c>
      <c r="D91" s="3" t="s">
        <v>4</v>
      </c>
      <c r="E91" s="3">
        <v>58</v>
      </c>
      <c r="F91" s="3">
        <v>98</v>
      </c>
      <c r="G91" s="3">
        <v>79</v>
      </c>
      <c r="H91" s="4">
        <v>0.8</v>
      </c>
      <c r="I91" s="3" t="s">
        <v>20</v>
      </c>
      <c r="J91" s="3" t="str">
        <f>UPPER(C34)</f>
        <v>CHENNAI</v>
      </c>
      <c r="K91" s="3">
        <v>0.8</v>
      </c>
      <c r="L91" s="3" t="str">
        <f>VLOOKUP(C91, Mapping!A:B, 2, FALSE)</f>
        <v>South</v>
      </c>
      <c r="M91" s="3">
        <f t="shared" si="13"/>
        <v>235</v>
      </c>
      <c r="N91" s="3">
        <f t="shared" si="14"/>
        <v>78.333333333333329</v>
      </c>
      <c r="O91" s="3" t="str">
        <f t="shared" si="15"/>
        <v>Average</v>
      </c>
      <c r="P91">
        <f t="shared" si="12"/>
        <v>80</v>
      </c>
      <c r="Q91">
        <f t="shared" si="9"/>
        <v>80</v>
      </c>
    </row>
    <row r="92" spans="1:17">
      <c r="A92" s="3">
        <v>120</v>
      </c>
      <c r="B92" s="3" t="s">
        <v>60</v>
      </c>
      <c r="C92" s="6" t="s">
        <v>42</v>
      </c>
      <c r="D92" s="3" t="s">
        <v>4</v>
      </c>
      <c r="E92" s="3">
        <v>74</v>
      </c>
      <c r="F92" s="3">
        <v>74</v>
      </c>
      <c r="G92" s="3">
        <v>59</v>
      </c>
      <c r="H92" s="4" t="s">
        <v>45</v>
      </c>
      <c r="I92" s="3" t="s">
        <v>20</v>
      </c>
      <c r="J92" s="3" t="str">
        <f>UPPER(C18)</f>
        <v>BANGALORE</v>
      </c>
      <c r="K92" s="3">
        <v>0.85</v>
      </c>
      <c r="L92" s="3" t="str">
        <f>VLOOKUP(C92, Mapping!A:B, 2, FALSE)</f>
        <v>South</v>
      </c>
      <c r="M92" s="3">
        <f t="shared" si="13"/>
        <v>207</v>
      </c>
      <c r="N92" s="3">
        <f t="shared" si="14"/>
        <v>69</v>
      </c>
      <c r="O92" s="3" t="str">
        <f t="shared" si="15"/>
        <v>Average</v>
      </c>
      <c r="P92">
        <f t="shared" si="12"/>
        <v>85</v>
      </c>
      <c r="Q92">
        <f t="shared" si="9"/>
        <v>80</v>
      </c>
    </row>
    <row r="93" spans="1:17">
      <c r="A93" s="3">
        <v>118</v>
      </c>
      <c r="B93" s="3" t="s">
        <v>58</v>
      </c>
      <c r="C93" s="6" t="s">
        <v>12</v>
      </c>
      <c r="D93" s="3" t="s">
        <v>5</v>
      </c>
      <c r="E93" s="3">
        <v>59</v>
      </c>
      <c r="F93" s="3">
        <v>86</v>
      </c>
      <c r="G93" s="3">
        <v>90</v>
      </c>
      <c r="H93" s="4">
        <v>0.95</v>
      </c>
      <c r="I93" s="3" t="s">
        <v>20</v>
      </c>
      <c r="J93" s="3" t="s">
        <v>12</v>
      </c>
      <c r="K93" s="3">
        <v>0.95</v>
      </c>
      <c r="L93" s="3" t="str">
        <f>VLOOKUP(C93, Mapping!A:B, 2, FALSE)</f>
        <v>West</v>
      </c>
      <c r="M93" s="3">
        <f t="shared" si="13"/>
        <v>235</v>
      </c>
      <c r="N93" s="3">
        <f t="shared" si="14"/>
        <v>78.333333333333329</v>
      </c>
      <c r="O93" s="3" t="str">
        <f t="shared" si="15"/>
        <v>Average</v>
      </c>
      <c r="P93">
        <f t="shared" si="12"/>
        <v>95</v>
      </c>
      <c r="Q93">
        <f t="shared" si="9"/>
        <v>90</v>
      </c>
    </row>
    <row r="94" spans="1:17">
      <c r="A94" s="3">
        <v>149</v>
      </c>
      <c r="B94" s="3" t="s">
        <v>89</v>
      </c>
      <c r="C94" s="6" t="s">
        <v>10</v>
      </c>
      <c r="D94" s="3" t="s">
        <v>5</v>
      </c>
      <c r="E94" s="3">
        <v>78</v>
      </c>
      <c r="F94" s="3">
        <v>59</v>
      </c>
      <c r="G94" s="3">
        <v>90</v>
      </c>
      <c r="H94" s="4">
        <v>0.95</v>
      </c>
      <c r="I94" s="3" t="s">
        <v>21</v>
      </c>
      <c r="J94" s="3" t="str">
        <f>UPPER(C34)</f>
        <v>CHENNAI</v>
      </c>
      <c r="K94" s="3">
        <v>0.95</v>
      </c>
      <c r="L94" s="3" t="str">
        <f>VLOOKUP(C94, Mapping!A:B, 2, FALSE)</f>
        <v>South</v>
      </c>
      <c r="M94" s="3">
        <f t="shared" si="13"/>
        <v>227</v>
      </c>
      <c r="N94" s="3">
        <f t="shared" si="14"/>
        <v>75.666666666666671</v>
      </c>
      <c r="O94" s="3" t="str">
        <f t="shared" si="15"/>
        <v>Average</v>
      </c>
      <c r="P94">
        <f t="shared" si="12"/>
        <v>95</v>
      </c>
      <c r="Q94">
        <f t="shared" si="9"/>
        <v>90</v>
      </c>
    </row>
    <row r="95" spans="1:17">
      <c r="A95" s="3">
        <v>103</v>
      </c>
      <c r="B95" s="3" t="s">
        <v>38</v>
      </c>
      <c r="C95" s="6" t="s">
        <v>47</v>
      </c>
      <c r="D95" s="3" t="s">
        <v>5</v>
      </c>
      <c r="E95" s="3">
        <v>66</v>
      </c>
      <c r="F95" s="3">
        <v>78</v>
      </c>
      <c r="G95" s="3">
        <v>90</v>
      </c>
      <c r="H95" s="4">
        <v>0.95</v>
      </c>
      <c r="I95" s="3" t="s">
        <v>21</v>
      </c>
      <c r="J95" s="3" t="str">
        <f>UPPER(C20)</f>
        <v>HYDERABAD</v>
      </c>
      <c r="K95" s="3">
        <v>0.95</v>
      </c>
      <c r="L95" s="3" t="str">
        <f>VLOOKUP(C95, Mapping!A:B, 2, FALSE)</f>
        <v>South</v>
      </c>
      <c r="M95" s="3">
        <f t="shared" si="13"/>
        <v>234</v>
      </c>
      <c r="N95" s="3">
        <f t="shared" si="14"/>
        <v>78</v>
      </c>
      <c r="O95" s="3" t="str">
        <f t="shared" si="15"/>
        <v>Average</v>
      </c>
      <c r="P95">
        <f t="shared" si="12"/>
        <v>95</v>
      </c>
      <c r="Q95">
        <f t="shared" si="9"/>
        <v>90</v>
      </c>
    </row>
    <row r="96" spans="1:17">
      <c r="A96" s="3">
        <v>104</v>
      </c>
      <c r="B96" s="3" t="s">
        <v>40</v>
      </c>
      <c r="C96" s="6" t="s">
        <v>9</v>
      </c>
      <c r="D96" s="3" t="s">
        <v>3</v>
      </c>
      <c r="E96" s="3">
        <v>52</v>
      </c>
      <c r="F96" s="3">
        <v>59</v>
      </c>
      <c r="G96" s="3">
        <v>78</v>
      </c>
      <c r="H96" s="4">
        <v>0.87</v>
      </c>
      <c r="I96" s="3" t="s">
        <v>21</v>
      </c>
      <c r="J96" s="3" t="str">
        <f>UPPER(C6)</f>
        <v>BANGALORE</v>
      </c>
      <c r="K96" s="3">
        <v>0.87</v>
      </c>
      <c r="L96" s="3" t="str">
        <f>VLOOKUP(C96, Mapping!A:B, 2, FALSE)</f>
        <v>South</v>
      </c>
      <c r="M96" s="3">
        <f t="shared" si="13"/>
        <v>189</v>
      </c>
      <c r="N96" s="3">
        <f t="shared" si="14"/>
        <v>63</v>
      </c>
      <c r="O96" s="3" t="str">
        <f t="shared" si="15"/>
        <v>Average</v>
      </c>
      <c r="P96">
        <f>K96*100</f>
        <v>87</v>
      </c>
      <c r="Q96">
        <f t="shared" si="9"/>
        <v>80</v>
      </c>
    </row>
    <row r="97" spans="1:17">
      <c r="A97" s="3">
        <v>82</v>
      </c>
      <c r="B97" s="3" t="s">
        <v>99</v>
      </c>
      <c r="C97" s="6" t="s">
        <v>11</v>
      </c>
      <c r="D97" s="3" t="s">
        <v>2</v>
      </c>
      <c r="E97" s="3">
        <v>78</v>
      </c>
      <c r="F97" s="3">
        <v>98</v>
      </c>
      <c r="G97" s="3">
        <v>69</v>
      </c>
      <c r="H97" s="4">
        <v>0.89</v>
      </c>
      <c r="I97" s="3" t="s">
        <v>21</v>
      </c>
      <c r="J97" s="3" t="str">
        <f>UPPER(C20)</f>
        <v>HYDERABAD</v>
      </c>
      <c r="K97" s="3">
        <v>0.89</v>
      </c>
      <c r="L97" s="3" t="str">
        <f>VLOOKUP(C97, Mapping!A:B, 2, FALSE)</f>
        <v>South</v>
      </c>
      <c r="M97" s="3">
        <f t="shared" si="13"/>
        <v>245</v>
      </c>
      <c r="N97" s="3">
        <f t="shared" si="14"/>
        <v>81.666666666666671</v>
      </c>
      <c r="O97" s="3" t="str">
        <f t="shared" si="15"/>
        <v>Top</v>
      </c>
      <c r="P97">
        <f t="shared" ref="P97:P113" si="16">K97*100</f>
        <v>89</v>
      </c>
      <c r="Q97">
        <f t="shared" si="9"/>
        <v>80</v>
      </c>
    </row>
    <row r="98" spans="1:17">
      <c r="A98" s="3">
        <v>140</v>
      </c>
      <c r="B98" s="3" t="s">
        <v>80</v>
      </c>
      <c r="C98" s="6" t="s">
        <v>9</v>
      </c>
      <c r="D98" s="3" t="s">
        <v>3</v>
      </c>
      <c r="E98" s="3">
        <v>59</v>
      </c>
      <c r="F98" s="3">
        <v>90</v>
      </c>
      <c r="G98" s="3">
        <v>59</v>
      </c>
      <c r="H98" s="4">
        <v>0.87</v>
      </c>
      <c r="I98" s="3" t="s">
        <v>21</v>
      </c>
      <c r="J98" s="3" t="str">
        <f>UPPER(C6)</f>
        <v>BANGALORE</v>
      </c>
      <c r="K98" s="3">
        <v>0.87</v>
      </c>
      <c r="L98" s="3" t="str">
        <f>VLOOKUP(C98, Mapping!A:B, 2, FALSE)</f>
        <v>South</v>
      </c>
      <c r="M98" s="3">
        <f t="shared" si="13"/>
        <v>208</v>
      </c>
      <c r="N98" s="3">
        <f t="shared" si="14"/>
        <v>69.333333333333329</v>
      </c>
      <c r="O98" s="3" t="str">
        <f t="shared" si="15"/>
        <v>Average</v>
      </c>
      <c r="P98">
        <f t="shared" si="16"/>
        <v>87</v>
      </c>
      <c r="Q98">
        <f t="shared" si="9"/>
        <v>80</v>
      </c>
    </row>
    <row r="99" spans="1:17">
      <c r="A99" s="3">
        <v>120</v>
      </c>
      <c r="B99" s="3" t="s">
        <v>60</v>
      </c>
      <c r="C99" s="6" t="s">
        <v>100</v>
      </c>
      <c r="D99" s="3" t="s">
        <v>4</v>
      </c>
      <c r="E99" s="3">
        <v>74</v>
      </c>
      <c r="F99" s="3">
        <v>74</v>
      </c>
      <c r="G99" s="3">
        <v>59</v>
      </c>
      <c r="H99" s="4">
        <v>0.82</v>
      </c>
      <c r="I99" s="3" t="s">
        <v>21</v>
      </c>
      <c r="J99" s="3" t="s">
        <v>100</v>
      </c>
      <c r="K99" s="3">
        <v>0.82</v>
      </c>
      <c r="L99" s="3" t="str">
        <f>VLOOKUP(C99, Mapping!A:B, 2, FALSE)</f>
        <v>West</v>
      </c>
      <c r="M99" s="3">
        <f t="shared" si="13"/>
        <v>207</v>
      </c>
      <c r="N99" s="3">
        <f t="shared" si="14"/>
        <v>69</v>
      </c>
      <c r="O99" s="3" t="str">
        <f t="shared" si="15"/>
        <v>Average</v>
      </c>
      <c r="P99">
        <f t="shared" si="16"/>
        <v>82</v>
      </c>
      <c r="Q99">
        <f t="shared" si="9"/>
        <v>80</v>
      </c>
    </row>
    <row r="100" spans="1:17">
      <c r="A100" s="3">
        <v>90</v>
      </c>
      <c r="B100" s="3" t="s">
        <v>101</v>
      </c>
      <c r="C100" s="6" t="s">
        <v>9</v>
      </c>
      <c r="D100" s="3" t="s">
        <v>5</v>
      </c>
      <c r="E100" s="3">
        <v>58</v>
      </c>
      <c r="F100" s="3">
        <v>69</v>
      </c>
      <c r="G100" s="3">
        <v>85</v>
      </c>
      <c r="H100" s="4">
        <v>0.77</v>
      </c>
      <c r="I100" s="3" t="s">
        <v>21</v>
      </c>
      <c r="J100" s="3" t="str">
        <f>UPPER(C6)</f>
        <v>BANGALORE</v>
      </c>
      <c r="K100" s="3">
        <v>0.77</v>
      </c>
      <c r="L100" s="3" t="str">
        <f>VLOOKUP(C100, Mapping!A:B, 2, FALSE)</f>
        <v>South</v>
      </c>
      <c r="M100" s="3">
        <f t="shared" si="13"/>
        <v>212</v>
      </c>
      <c r="N100" s="3">
        <f t="shared" si="14"/>
        <v>70.666666666666671</v>
      </c>
      <c r="O100" s="3" t="str">
        <f t="shared" si="15"/>
        <v>Average</v>
      </c>
      <c r="P100">
        <f t="shared" si="16"/>
        <v>77</v>
      </c>
      <c r="Q100">
        <f t="shared" si="9"/>
        <v>70</v>
      </c>
    </row>
    <row r="101" spans="1:17">
      <c r="A101" s="3">
        <v>106</v>
      </c>
      <c r="B101" s="3" t="s">
        <v>57</v>
      </c>
      <c r="C101" s="6" t="s">
        <v>9</v>
      </c>
      <c r="D101" s="3" t="s">
        <v>3</v>
      </c>
      <c r="E101" s="3">
        <v>90</v>
      </c>
      <c r="F101" s="3">
        <v>66</v>
      </c>
      <c r="G101" s="3">
        <v>66</v>
      </c>
      <c r="H101" s="4">
        <v>0.9</v>
      </c>
      <c r="I101" s="3" t="s">
        <v>21</v>
      </c>
      <c r="J101" s="3" t="str">
        <f>UPPER(C18)</f>
        <v>BANGALORE</v>
      </c>
      <c r="K101" s="3">
        <v>0.9</v>
      </c>
      <c r="L101" s="3" t="str">
        <f>VLOOKUP(C101, Mapping!A:B, 2, FALSE)</f>
        <v>South</v>
      </c>
      <c r="M101" s="3">
        <f t="shared" si="13"/>
        <v>222</v>
      </c>
      <c r="N101" s="3">
        <f t="shared" si="14"/>
        <v>74</v>
      </c>
      <c r="O101" s="3" t="str">
        <f t="shared" si="15"/>
        <v>Average</v>
      </c>
      <c r="P101">
        <f t="shared" si="16"/>
        <v>90</v>
      </c>
      <c r="Q101">
        <f t="shared" si="9"/>
        <v>90</v>
      </c>
    </row>
    <row r="102" spans="1:17">
      <c r="A102" s="3">
        <v>106</v>
      </c>
      <c r="B102" s="3" t="s">
        <v>82</v>
      </c>
      <c r="C102" s="6" t="s">
        <v>9</v>
      </c>
      <c r="D102" s="3" t="s">
        <v>5</v>
      </c>
      <c r="E102" s="3">
        <v>74</v>
      </c>
      <c r="F102" s="3">
        <v>66</v>
      </c>
      <c r="G102" s="3">
        <v>59</v>
      </c>
      <c r="H102" s="4">
        <v>0.82</v>
      </c>
      <c r="I102" s="3" t="s">
        <v>21</v>
      </c>
      <c r="J102" s="3" t="str">
        <f>UPPER(C18)</f>
        <v>BANGALORE</v>
      </c>
      <c r="K102" s="3">
        <v>0.82</v>
      </c>
      <c r="L102" s="3" t="str">
        <f>VLOOKUP(C102, Mapping!A:B, 2, FALSE)</f>
        <v>South</v>
      </c>
      <c r="M102" s="3">
        <f t="shared" si="13"/>
        <v>199</v>
      </c>
      <c r="N102" s="3">
        <f t="shared" si="14"/>
        <v>66.333333333333329</v>
      </c>
      <c r="O102" s="3" t="str">
        <f>IF(N102&gt;80,"Top",IF(N102&gt;60,"Average","Low"))</f>
        <v>Average</v>
      </c>
      <c r="P102">
        <f t="shared" si="16"/>
        <v>82</v>
      </c>
      <c r="Q102">
        <f t="shared" si="9"/>
        <v>80</v>
      </c>
    </row>
    <row r="103" spans="1:17">
      <c r="A103" s="3">
        <v>120</v>
      </c>
      <c r="B103" s="3" t="s">
        <v>60</v>
      </c>
      <c r="C103" s="6" t="s">
        <v>42</v>
      </c>
      <c r="D103" s="3" t="s">
        <v>5</v>
      </c>
      <c r="E103" s="3">
        <v>74</v>
      </c>
      <c r="F103" s="3">
        <v>74</v>
      </c>
      <c r="G103" s="3">
        <v>59</v>
      </c>
      <c r="H103" s="4">
        <v>0.82</v>
      </c>
      <c r="I103" s="3" t="s">
        <v>21</v>
      </c>
      <c r="J103" s="3" t="str">
        <f>UPPER(C18)</f>
        <v>BANGALORE</v>
      </c>
      <c r="K103" s="3">
        <v>0.82</v>
      </c>
      <c r="L103" s="3" t="str">
        <f>VLOOKUP(C103, Mapping!A:B, 2, FALSE)</f>
        <v>South</v>
      </c>
      <c r="M103" s="3">
        <f t="shared" si="13"/>
        <v>207</v>
      </c>
      <c r="N103" s="3">
        <f t="shared" si="14"/>
        <v>69</v>
      </c>
      <c r="O103" s="3" t="str">
        <f t="shared" ref="O103:O117" si="17">IF(N103&gt;80,"Top",IF(N103&gt;60,"Average","Low"))</f>
        <v>Average</v>
      </c>
      <c r="P103">
        <f t="shared" si="16"/>
        <v>82</v>
      </c>
      <c r="Q103">
        <f t="shared" si="9"/>
        <v>80</v>
      </c>
    </row>
    <row r="104" spans="1:17">
      <c r="A104" s="3">
        <v>130</v>
      </c>
      <c r="B104" s="3" t="s">
        <v>70</v>
      </c>
      <c r="C104" s="6" t="s">
        <v>9</v>
      </c>
      <c r="D104" s="3" t="s">
        <v>5</v>
      </c>
      <c r="E104" s="3">
        <v>78</v>
      </c>
      <c r="F104" s="3">
        <v>52</v>
      </c>
      <c r="G104" s="3">
        <v>66</v>
      </c>
      <c r="H104" s="4">
        <v>0.95</v>
      </c>
      <c r="I104" s="3" t="s">
        <v>21</v>
      </c>
      <c r="J104" s="3" t="str">
        <f>UPPER(C6)</f>
        <v>BANGALORE</v>
      </c>
      <c r="K104" s="3">
        <v>0.95</v>
      </c>
      <c r="L104" s="3" t="str">
        <f>VLOOKUP(C104, Mapping!A:B, 2, FALSE)</f>
        <v>South</v>
      </c>
      <c r="M104" s="3">
        <f t="shared" si="13"/>
        <v>196</v>
      </c>
      <c r="N104" s="3">
        <f t="shared" si="14"/>
        <v>65.333333333333329</v>
      </c>
      <c r="O104" s="3" t="str">
        <f t="shared" si="17"/>
        <v>Average</v>
      </c>
      <c r="P104">
        <f t="shared" si="16"/>
        <v>95</v>
      </c>
      <c r="Q104">
        <f t="shared" si="9"/>
        <v>90</v>
      </c>
    </row>
    <row r="105" spans="1:17">
      <c r="A105" s="3">
        <v>146</v>
      </c>
      <c r="B105" s="3" t="s">
        <v>86</v>
      </c>
      <c r="C105" s="6" t="s">
        <v>100</v>
      </c>
      <c r="D105" s="3" t="s">
        <v>4</v>
      </c>
      <c r="E105" s="3">
        <v>52</v>
      </c>
      <c r="F105" s="3">
        <v>69</v>
      </c>
      <c r="G105" s="3">
        <v>66</v>
      </c>
      <c r="H105" s="4">
        <v>0.79</v>
      </c>
      <c r="I105" s="3" t="s">
        <v>21</v>
      </c>
      <c r="J105" s="3" t="s">
        <v>12</v>
      </c>
      <c r="K105" s="3">
        <v>0.79</v>
      </c>
      <c r="L105" s="3" t="str">
        <f>VLOOKUP(C105, Mapping!A:B, 2, FALSE)</f>
        <v>West</v>
      </c>
      <c r="M105" s="3">
        <f>E105 + F105 + G105</f>
        <v>187</v>
      </c>
      <c r="N105" s="3">
        <f>AVERAGE(E105, F105, G105)</f>
        <v>62.333333333333336</v>
      </c>
      <c r="O105" s="3" t="str">
        <f t="shared" si="17"/>
        <v>Average</v>
      </c>
      <c r="P105">
        <f t="shared" si="16"/>
        <v>79</v>
      </c>
      <c r="Q105">
        <f t="shared" si="9"/>
        <v>70</v>
      </c>
    </row>
    <row r="106" spans="1:17">
      <c r="A106" s="3">
        <v>89</v>
      </c>
      <c r="B106" s="3" t="s">
        <v>102</v>
      </c>
      <c r="C106" s="6" t="s">
        <v>10</v>
      </c>
      <c r="D106" s="3" t="s">
        <v>4</v>
      </c>
      <c r="E106" s="3">
        <v>79</v>
      </c>
      <c r="F106" s="3">
        <v>57</v>
      </c>
      <c r="G106" s="3">
        <v>60</v>
      </c>
      <c r="H106" s="4">
        <v>0.87</v>
      </c>
      <c r="I106" s="3" t="s">
        <v>21</v>
      </c>
      <c r="J106" s="3" t="str">
        <f>UPPER(C34)</f>
        <v>CHENNAI</v>
      </c>
      <c r="K106" s="3">
        <v>0.87</v>
      </c>
      <c r="L106" s="3" t="str">
        <f>VLOOKUP(C106, Mapping!A:B, 2, FALSE)</f>
        <v>South</v>
      </c>
      <c r="M106" s="3">
        <f t="shared" si="13"/>
        <v>196</v>
      </c>
      <c r="N106" s="3">
        <f t="shared" ref="N106:N118" si="18">AVERAGE(E106, F106, G106)</f>
        <v>65.333333333333329</v>
      </c>
      <c r="O106" s="3" t="str">
        <f t="shared" si="17"/>
        <v>Average</v>
      </c>
      <c r="P106">
        <f t="shared" si="16"/>
        <v>87</v>
      </c>
      <c r="Q106">
        <f t="shared" si="9"/>
        <v>80</v>
      </c>
    </row>
    <row r="107" spans="1:17">
      <c r="A107" s="3">
        <v>120</v>
      </c>
      <c r="B107" s="3" t="s">
        <v>60</v>
      </c>
      <c r="C107" s="6" t="s">
        <v>42</v>
      </c>
      <c r="D107" s="3" t="s">
        <v>5</v>
      </c>
      <c r="E107" s="3">
        <v>74</v>
      </c>
      <c r="F107" s="3">
        <v>74</v>
      </c>
      <c r="G107" s="3">
        <v>59</v>
      </c>
      <c r="H107" s="4" t="s">
        <v>45</v>
      </c>
      <c r="I107" s="3" t="s">
        <v>21</v>
      </c>
      <c r="J107" s="3" t="str">
        <f>UPPER(C18)</f>
        <v>BANGALORE</v>
      </c>
      <c r="K107" s="3">
        <v>0.79</v>
      </c>
      <c r="L107" s="3" t="str">
        <f>VLOOKUP(C107, Mapping!A:B, 2, FALSE)</f>
        <v>South</v>
      </c>
      <c r="M107" s="3">
        <f t="shared" si="13"/>
        <v>207</v>
      </c>
      <c r="N107" s="3">
        <f t="shared" si="18"/>
        <v>69</v>
      </c>
      <c r="O107" s="3" t="str">
        <f t="shared" si="17"/>
        <v>Average</v>
      </c>
      <c r="P107">
        <f t="shared" si="16"/>
        <v>79</v>
      </c>
      <c r="Q107">
        <f t="shared" si="9"/>
        <v>70</v>
      </c>
    </row>
    <row r="108" spans="1:17">
      <c r="A108" s="3">
        <v>104</v>
      </c>
      <c r="B108" s="3" t="s">
        <v>40</v>
      </c>
      <c r="C108" s="6" t="s">
        <v>9</v>
      </c>
      <c r="D108" s="3" t="s">
        <v>3</v>
      </c>
      <c r="E108" s="3">
        <v>52</v>
      </c>
      <c r="F108" s="3">
        <v>76</v>
      </c>
      <c r="G108" s="3">
        <v>78</v>
      </c>
      <c r="H108" s="4">
        <v>0.87</v>
      </c>
      <c r="I108" s="3" t="s">
        <v>21</v>
      </c>
      <c r="J108" s="3" t="str">
        <f>UPPER(C6)</f>
        <v>BANGALORE</v>
      </c>
      <c r="K108" s="3">
        <v>0.87</v>
      </c>
      <c r="L108" s="3" t="str">
        <f>VLOOKUP(C108, Mapping!A:B, 2, FALSE)</f>
        <v>South</v>
      </c>
      <c r="M108" s="3">
        <f>E108 + F108 + G108</f>
        <v>206</v>
      </c>
      <c r="N108" s="3">
        <f t="shared" si="18"/>
        <v>68.666666666666671</v>
      </c>
      <c r="O108" s="3" t="str">
        <f t="shared" si="17"/>
        <v>Average</v>
      </c>
      <c r="P108">
        <f t="shared" si="16"/>
        <v>87</v>
      </c>
      <c r="Q108">
        <f t="shared" si="9"/>
        <v>80</v>
      </c>
    </row>
    <row r="109" spans="1:17">
      <c r="A109" s="3">
        <v>146</v>
      </c>
      <c r="B109" s="3" t="s">
        <v>86</v>
      </c>
      <c r="C109" s="6" t="s">
        <v>9</v>
      </c>
      <c r="D109" s="3" t="s">
        <v>4</v>
      </c>
      <c r="E109" s="3">
        <v>52</v>
      </c>
      <c r="F109" s="3">
        <v>66</v>
      </c>
      <c r="G109" s="3">
        <v>66</v>
      </c>
      <c r="H109" s="4">
        <v>0.79</v>
      </c>
      <c r="I109" s="3" t="s">
        <v>21</v>
      </c>
      <c r="J109" s="3" t="str">
        <f>UPPER(C18)</f>
        <v>BANGALORE</v>
      </c>
      <c r="K109" s="3">
        <v>0.79</v>
      </c>
      <c r="L109" s="3" t="str">
        <f>VLOOKUP(C109, Mapping!A:B, 2, FALSE)</f>
        <v>South</v>
      </c>
      <c r="M109" s="3">
        <f t="shared" ref="M109:M127" si="19">E109 + F109 + G109</f>
        <v>184</v>
      </c>
      <c r="N109" s="3">
        <f t="shared" si="18"/>
        <v>61.333333333333336</v>
      </c>
      <c r="O109" s="3" t="str">
        <f t="shared" si="17"/>
        <v>Average</v>
      </c>
      <c r="P109">
        <f t="shared" si="16"/>
        <v>79</v>
      </c>
      <c r="Q109">
        <f t="shared" si="9"/>
        <v>70</v>
      </c>
    </row>
    <row r="110" spans="1:17">
      <c r="A110" s="3">
        <v>148</v>
      </c>
      <c r="B110" s="3" t="s">
        <v>88</v>
      </c>
      <c r="C110" s="6" t="s">
        <v>42</v>
      </c>
      <c r="D110" s="3" t="s">
        <v>4</v>
      </c>
      <c r="E110" s="3">
        <v>90</v>
      </c>
      <c r="F110" s="3">
        <v>59</v>
      </c>
      <c r="G110" s="3">
        <v>78</v>
      </c>
      <c r="H110" s="4">
        <v>0.87</v>
      </c>
      <c r="I110" s="3" t="s">
        <v>21</v>
      </c>
      <c r="J110" s="3" t="str">
        <f>UPPER(C18)</f>
        <v>BANGALORE</v>
      </c>
      <c r="K110" s="3">
        <v>0.87</v>
      </c>
      <c r="L110" s="3" t="str">
        <f>VLOOKUP(C110, Mapping!A:B, 2, FALSE)</f>
        <v>South</v>
      </c>
      <c r="M110" s="3">
        <f t="shared" si="19"/>
        <v>227</v>
      </c>
      <c r="N110" s="3">
        <f t="shared" si="18"/>
        <v>75.666666666666671</v>
      </c>
      <c r="O110" s="3" t="str">
        <f t="shared" si="17"/>
        <v>Average</v>
      </c>
      <c r="P110">
        <f t="shared" si="16"/>
        <v>87</v>
      </c>
      <c r="Q110">
        <f t="shared" si="9"/>
        <v>80</v>
      </c>
    </row>
    <row r="111" spans="1:17">
      <c r="A111" s="3">
        <v>130</v>
      </c>
      <c r="B111" s="3" t="s">
        <v>70</v>
      </c>
      <c r="C111" s="6" t="s">
        <v>10</v>
      </c>
      <c r="D111" s="3" t="s">
        <v>4</v>
      </c>
      <c r="E111" s="3">
        <v>83</v>
      </c>
      <c r="F111" s="3">
        <v>86</v>
      </c>
      <c r="G111" s="3">
        <v>66</v>
      </c>
      <c r="H111" s="4" t="s">
        <v>39</v>
      </c>
      <c r="I111" s="3" t="s">
        <v>21</v>
      </c>
      <c r="J111" s="3" t="str">
        <f>UPPER(C34)</f>
        <v>CHENNAI</v>
      </c>
      <c r="K111" s="3">
        <v>0.79</v>
      </c>
      <c r="L111" s="3" t="str">
        <f>VLOOKUP(C111, Mapping!A:B, 2, FALSE)</f>
        <v>South</v>
      </c>
      <c r="M111" s="3">
        <f t="shared" si="19"/>
        <v>235</v>
      </c>
      <c r="N111" s="3">
        <f t="shared" si="18"/>
        <v>78.333333333333329</v>
      </c>
      <c r="O111" s="3" t="str">
        <f t="shared" si="17"/>
        <v>Average</v>
      </c>
      <c r="P111">
        <f t="shared" si="16"/>
        <v>79</v>
      </c>
      <c r="Q111">
        <f t="shared" si="9"/>
        <v>70</v>
      </c>
    </row>
    <row r="112" spans="1:17">
      <c r="A112" s="3">
        <v>49</v>
      </c>
      <c r="B112" s="3" t="s">
        <v>103</v>
      </c>
      <c r="C112" s="6" t="s">
        <v>104</v>
      </c>
      <c r="D112" s="3" t="s">
        <v>4</v>
      </c>
      <c r="E112" s="3">
        <v>75</v>
      </c>
      <c r="F112" s="3">
        <v>50</v>
      </c>
      <c r="G112" s="3">
        <v>89</v>
      </c>
      <c r="H112" s="4">
        <v>0.72</v>
      </c>
      <c r="I112" s="3" t="s">
        <v>21</v>
      </c>
      <c r="J112" s="3" t="str">
        <f>UPPER(C34)</f>
        <v>CHENNAI</v>
      </c>
      <c r="K112" s="3">
        <v>0.72</v>
      </c>
      <c r="L112" s="3" t="str">
        <f>VLOOKUP(C112, Mapping!A:B, 2, FALSE)</f>
        <v>South</v>
      </c>
      <c r="M112" s="3">
        <f t="shared" si="19"/>
        <v>214</v>
      </c>
      <c r="N112" s="3">
        <f t="shared" si="18"/>
        <v>71.333333333333329</v>
      </c>
      <c r="O112" s="3" t="str">
        <f t="shared" si="17"/>
        <v>Average</v>
      </c>
      <c r="P112">
        <f t="shared" si="16"/>
        <v>72</v>
      </c>
      <c r="Q112">
        <f t="shared" si="9"/>
        <v>70</v>
      </c>
    </row>
    <row r="113" spans="1:17">
      <c r="A113" s="3">
        <v>106</v>
      </c>
      <c r="B113" s="3" t="s">
        <v>57</v>
      </c>
      <c r="C113" s="6" t="s">
        <v>9</v>
      </c>
      <c r="D113" s="3" t="s">
        <v>3</v>
      </c>
      <c r="E113" s="3">
        <v>90</v>
      </c>
      <c r="F113" s="3">
        <v>66</v>
      </c>
      <c r="G113" s="3">
        <v>69</v>
      </c>
      <c r="H113" s="4">
        <v>0.9</v>
      </c>
      <c r="I113" s="3" t="s">
        <v>21</v>
      </c>
      <c r="J113" s="3" t="str">
        <f>UPPER(C18)</f>
        <v>BANGALORE</v>
      </c>
      <c r="K113" s="3">
        <v>0.9</v>
      </c>
      <c r="L113" s="3" t="str">
        <f>VLOOKUP(C113, Mapping!A:B, 2, FALSE)</f>
        <v>South</v>
      </c>
      <c r="M113" s="3">
        <f t="shared" si="19"/>
        <v>225</v>
      </c>
      <c r="N113" s="3">
        <f t="shared" si="18"/>
        <v>75</v>
      </c>
      <c r="O113" s="3" t="str">
        <f t="shared" si="17"/>
        <v>Average</v>
      </c>
      <c r="P113">
        <f t="shared" si="16"/>
        <v>90</v>
      </c>
      <c r="Q113">
        <f t="shared" si="9"/>
        <v>90</v>
      </c>
    </row>
    <row r="114" spans="1:17">
      <c r="A114" s="3">
        <v>133</v>
      </c>
      <c r="B114" s="3" t="s">
        <v>73</v>
      </c>
      <c r="C114" s="6" t="s">
        <v>10</v>
      </c>
      <c r="D114" s="3" t="s">
        <v>5</v>
      </c>
      <c r="E114" s="3">
        <v>74</v>
      </c>
      <c r="F114" s="3">
        <v>59</v>
      </c>
      <c r="G114" s="3">
        <v>59</v>
      </c>
      <c r="H114" s="4">
        <v>0.82</v>
      </c>
      <c r="I114" s="3" t="s">
        <v>21</v>
      </c>
      <c r="J114" s="3" t="str">
        <f>UPPER(C34)</f>
        <v>CHENNAI</v>
      </c>
      <c r="K114" s="3">
        <v>0.82</v>
      </c>
      <c r="L114" s="3" t="str">
        <f>VLOOKUP(C114, Mapping!A:B, 2, FALSE)</f>
        <v>South</v>
      </c>
      <c r="M114" s="3">
        <f t="shared" si="19"/>
        <v>192</v>
      </c>
      <c r="N114" s="3">
        <f t="shared" si="18"/>
        <v>64</v>
      </c>
      <c r="O114" s="3" t="str">
        <f t="shared" si="17"/>
        <v>Average</v>
      </c>
      <c r="P114">
        <f>K114*100</f>
        <v>82</v>
      </c>
      <c r="Q114">
        <f t="shared" si="9"/>
        <v>80</v>
      </c>
    </row>
    <row r="115" spans="1:17">
      <c r="A115" s="3">
        <v>121</v>
      </c>
      <c r="B115" s="3" t="s">
        <v>61</v>
      </c>
      <c r="C115" s="6" t="s">
        <v>10</v>
      </c>
      <c r="D115" s="3" t="s">
        <v>3</v>
      </c>
      <c r="E115" s="3">
        <v>84</v>
      </c>
      <c r="F115" s="3">
        <v>78</v>
      </c>
      <c r="G115" s="3">
        <v>66</v>
      </c>
      <c r="H115" s="4">
        <v>0.79</v>
      </c>
      <c r="I115" s="3" t="s">
        <v>21</v>
      </c>
      <c r="J115" s="3" t="str">
        <f>UPPER(C34)</f>
        <v>CHENNAI</v>
      </c>
      <c r="K115" s="3">
        <v>0.79</v>
      </c>
      <c r="L115" s="3" t="str">
        <f>VLOOKUP(C115, Mapping!A:B, 2, FALSE)</f>
        <v>South</v>
      </c>
      <c r="M115" s="3">
        <f t="shared" si="19"/>
        <v>228</v>
      </c>
      <c r="N115" s="3">
        <f t="shared" si="18"/>
        <v>76</v>
      </c>
      <c r="O115" s="3" t="str">
        <f t="shared" si="17"/>
        <v>Average</v>
      </c>
      <c r="P115">
        <f t="shared" ref="P115:P129" si="20">K115*100</f>
        <v>79</v>
      </c>
      <c r="Q115">
        <f t="shared" si="9"/>
        <v>70</v>
      </c>
    </row>
    <row r="116" spans="1:17">
      <c r="A116" s="3">
        <v>88</v>
      </c>
      <c r="B116" s="3" t="s">
        <v>105</v>
      </c>
      <c r="C116" s="6" t="s">
        <v>9</v>
      </c>
      <c r="D116" s="3" t="s">
        <v>5</v>
      </c>
      <c r="E116" s="3">
        <v>71</v>
      </c>
      <c r="F116" s="3">
        <v>58</v>
      </c>
      <c r="G116" s="3">
        <v>87</v>
      </c>
      <c r="H116" s="4">
        <v>0.9</v>
      </c>
      <c r="I116" s="3" t="s">
        <v>21</v>
      </c>
      <c r="J116" s="3" t="str">
        <f>UPPER(C6)</f>
        <v>BANGALORE</v>
      </c>
      <c r="K116" s="3">
        <v>0.9</v>
      </c>
      <c r="L116" s="3" t="str">
        <f>VLOOKUP(C116, Mapping!A:B, 2, FALSE)</f>
        <v>South</v>
      </c>
      <c r="M116" s="3">
        <f t="shared" si="19"/>
        <v>216</v>
      </c>
      <c r="N116" s="3">
        <f t="shared" si="18"/>
        <v>72</v>
      </c>
      <c r="O116" s="3" t="str">
        <f t="shared" si="17"/>
        <v>Average</v>
      </c>
      <c r="P116">
        <f t="shared" si="20"/>
        <v>90</v>
      </c>
      <c r="Q116">
        <f t="shared" si="9"/>
        <v>90</v>
      </c>
    </row>
    <row r="117" spans="1:17">
      <c r="A117" s="3">
        <v>108</v>
      </c>
      <c r="B117" s="3" t="s">
        <v>66</v>
      </c>
      <c r="C117" s="6" t="s">
        <v>42</v>
      </c>
      <c r="D117" s="3" t="s">
        <v>3</v>
      </c>
      <c r="E117" s="3">
        <v>59</v>
      </c>
      <c r="F117" s="3">
        <v>59</v>
      </c>
      <c r="G117" s="3">
        <v>66</v>
      </c>
      <c r="H117" s="4">
        <v>0.79</v>
      </c>
      <c r="I117" s="3" t="s">
        <v>21</v>
      </c>
      <c r="J117" s="3" t="str">
        <f>UPPER(C18)</f>
        <v>BANGALORE</v>
      </c>
      <c r="K117" s="3">
        <v>0.79</v>
      </c>
      <c r="L117" s="3" t="str">
        <f>VLOOKUP(C117, Mapping!A:B, 2, FALSE)</f>
        <v>South</v>
      </c>
      <c r="M117" s="3">
        <f t="shared" si="19"/>
        <v>184</v>
      </c>
      <c r="N117" s="3">
        <f t="shared" si="18"/>
        <v>61.333333333333336</v>
      </c>
      <c r="O117" s="3" t="str">
        <f t="shared" si="17"/>
        <v>Average</v>
      </c>
      <c r="P117">
        <f t="shared" si="20"/>
        <v>79</v>
      </c>
      <c r="Q117">
        <f t="shared" si="9"/>
        <v>70</v>
      </c>
    </row>
    <row r="118" spans="1:17">
      <c r="A118" s="3">
        <v>103</v>
      </c>
      <c r="B118" s="3" t="s">
        <v>38</v>
      </c>
      <c r="C118" s="6" t="s">
        <v>47</v>
      </c>
      <c r="D118" s="3" t="s">
        <v>5</v>
      </c>
      <c r="E118" s="3">
        <v>55</v>
      </c>
      <c r="F118" s="3">
        <v>78</v>
      </c>
      <c r="G118" s="3">
        <v>90</v>
      </c>
      <c r="H118" s="4">
        <v>0.95</v>
      </c>
      <c r="I118" s="3" t="s">
        <v>21</v>
      </c>
      <c r="J118" s="3" t="str">
        <f>UPPER(C20)</f>
        <v>HYDERABAD</v>
      </c>
      <c r="K118" s="3">
        <v>0.95</v>
      </c>
      <c r="L118" s="3" t="str">
        <f>VLOOKUP(C118, Mapping!A:B, 2, FALSE)</f>
        <v>South</v>
      </c>
      <c r="M118" s="3">
        <f t="shared" si="19"/>
        <v>223</v>
      </c>
      <c r="N118" s="3">
        <f t="shared" si="18"/>
        <v>74.333333333333329</v>
      </c>
      <c r="O118" s="3" t="str">
        <f>IF(N118&gt;80,"Top",IF(N118&gt;60,"Average","Low"))</f>
        <v>Average</v>
      </c>
      <c r="P118">
        <f t="shared" si="20"/>
        <v>95</v>
      </c>
      <c r="Q118">
        <f t="shared" si="9"/>
        <v>90</v>
      </c>
    </row>
    <row r="119" spans="1:17">
      <c r="A119" s="3">
        <v>106</v>
      </c>
      <c r="B119" s="3" t="s">
        <v>82</v>
      </c>
      <c r="C119" s="6" t="s">
        <v>10</v>
      </c>
      <c r="D119" s="3" t="s">
        <v>5</v>
      </c>
      <c r="E119" s="3">
        <v>74</v>
      </c>
      <c r="F119" s="3">
        <v>66</v>
      </c>
      <c r="G119" s="3">
        <v>59</v>
      </c>
      <c r="H119" s="4">
        <v>0.82</v>
      </c>
      <c r="I119" s="3" t="s">
        <v>21</v>
      </c>
      <c r="J119" s="3" t="str">
        <f>UPPER(C34)</f>
        <v>CHENNAI</v>
      </c>
      <c r="K119" s="3">
        <v>0.82</v>
      </c>
      <c r="L119" s="3" t="str">
        <f>VLOOKUP(C119, Mapping!A:B, 2, FALSE)</f>
        <v>South</v>
      </c>
      <c r="M119" s="3">
        <f t="shared" si="19"/>
        <v>199</v>
      </c>
      <c r="N119" s="3">
        <f>AVERAGE(E119, F119, G119)</f>
        <v>66.333333333333329</v>
      </c>
      <c r="O119" s="3" t="str">
        <f t="shared" ref="O119:O132" si="21">IF(N119&gt;80,"Top",IF(N119&gt;60,"Average","Low"))</f>
        <v>Average</v>
      </c>
      <c r="P119">
        <f t="shared" si="20"/>
        <v>82</v>
      </c>
      <c r="Q119">
        <f t="shared" si="9"/>
        <v>80</v>
      </c>
    </row>
    <row r="120" spans="1:17">
      <c r="A120" s="3">
        <v>124</v>
      </c>
      <c r="B120" s="3" t="s">
        <v>64</v>
      </c>
      <c r="C120" s="6" t="s">
        <v>42</v>
      </c>
      <c r="D120" s="3" t="s">
        <v>5</v>
      </c>
      <c r="E120" s="3">
        <v>74</v>
      </c>
      <c r="F120" s="3">
        <v>66</v>
      </c>
      <c r="G120" s="3">
        <v>78</v>
      </c>
      <c r="H120" s="4">
        <v>0.9</v>
      </c>
      <c r="I120" s="3" t="s">
        <v>21</v>
      </c>
      <c r="J120" s="3" t="str">
        <f>UPPER(C18)</f>
        <v>BANGALORE</v>
      </c>
      <c r="K120" s="3">
        <v>0.9</v>
      </c>
      <c r="L120" s="3" t="str">
        <f>VLOOKUP(C120, Mapping!A:B, 2, FALSE)</f>
        <v>South</v>
      </c>
      <c r="M120" s="3">
        <f t="shared" si="19"/>
        <v>218</v>
      </c>
      <c r="N120" s="3">
        <f t="shared" ref="N120:N138" si="22">AVERAGE(E120, F120, G120)</f>
        <v>72.666666666666671</v>
      </c>
      <c r="O120" s="3" t="str">
        <f t="shared" si="21"/>
        <v>Average</v>
      </c>
      <c r="P120">
        <f t="shared" si="20"/>
        <v>90</v>
      </c>
      <c r="Q120">
        <f t="shared" si="9"/>
        <v>90</v>
      </c>
    </row>
    <row r="121" spans="1:17">
      <c r="A121" s="3">
        <v>121</v>
      </c>
      <c r="B121" s="3" t="s">
        <v>61</v>
      </c>
      <c r="C121" s="6" t="s">
        <v>10</v>
      </c>
      <c r="D121" s="3" t="s">
        <v>3</v>
      </c>
      <c r="E121" s="3">
        <v>69</v>
      </c>
      <c r="F121" s="3">
        <v>78</v>
      </c>
      <c r="G121" s="3">
        <v>86</v>
      </c>
      <c r="H121" s="4" t="s">
        <v>45</v>
      </c>
      <c r="I121" s="3" t="s">
        <v>21</v>
      </c>
      <c r="J121" s="3" t="str">
        <f>UPPER(C34)</f>
        <v>CHENNAI</v>
      </c>
      <c r="K121" s="3">
        <v>0.85</v>
      </c>
      <c r="L121" s="3" t="str">
        <f>VLOOKUP(C121, Mapping!A:B, 2, FALSE)</f>
        <v>South</v>
      </c>
      <c r="M121" s="3">
        <f t="shared" si="19"/>
        <v>233</v>
      </c>
      <c r="N121" s="3">
        <f t="shared" si="22"/>
        <v>77.666666666666671</v>
      </c>
      <c r="O121" s="3" t="str">
        <f t="shared" si="21"/>
        <v>Average</v>
      </c>
      <c r="P121">
        <f t="shared" si="20"/>
        <v>85</v>
      </c>
      <c r="Q121">
        <f t="shared" si="9"/>
        <v>80</v>
      </c>
    </row>
    <row r="122" spans="1:17">
      <c r="A122" s="3">
        <v>106</v>
      </c>
      <c r="B122" s="3" t="s">
        <v>57</v>
      </c>
      <c r="C122" s="6" t="s">
        <v>9</v>
      </c>
      <c r="D122" s="3" t="s">
        <v>3</v>
      </c>
      <c r="E122" s="3">
        <v>90</v>
      </c>
      <c r="F122" s="3">
        <v>58</v>
      </c>
      <c r="G122" s="3">
        <v>66</v>
      </c>
      <c r="H122" s="4">
        <v>0.9</v>
      </c>
      <c r="I122" s="3" t="s">
        <v>21</v>
      </c>
      <c r="J122" s="3" t="str">
        <f>UPPER(C18)</f>
        <v>BANGALORE</v>
      </c>
      <c r="K122" s="3">
        <v>0.9</v>
      </c>
      <c r="L122" s="3" t="str">
        <f>VLOOKUP(C122, Mapping!A:B, 2, FALSE)</f>
        <v>South</v>
      </c>
      <c r="M122" s="3">
        <f t="shared" si="19"/>
        <v>214</v>
      </c>
      <c r="N122" s="3">
        <f t="shared" si="22"/>
        <v>71.333333333333329</v>
      </c>
      <c r="O122" s="3" t="str">
        <f t="shared" si="21"/>
        <v>Average</v>
      </c>
      <c r="P122">
        <f t="shared" si="20"/>
        <v>90</v>
      </c>
      <c r="Q122">
        <f t="shared" si="9"/>
        <v>90</v>
      </c>
    </row>
    <row r="123" spans="1:17">
      <c r="A123" s="3">
        <v>77</v>
      </c>
      <c r="B123" s="3" t="s">
        <v>106</v>
      </c>
      <c r="C123" s="6" t="s">
        <v>93</v>
      </c>
      <c r="D123" s="3" t="s">
        <v>2</v>
      </c>
      <c r="E123" s="3">
        <v>80</v>
      </c>
      <c r="F123" s="3">
        <v>82</v>
      </c>
      <c r="G123" s="3">
        <v>58</v>
      </c>
      <c r="H123" s="4">
        <v>0.81</v>
      </c>
      <c r="I123" s="3" t="s">
        <v>21</v>
      </c>
      <c r="J123" s="3" t="str">
        <f>UPPER(C20)</f>
        <v>HYDERABAD</v>
      </c>
      <c r="K123" s="3">
        <v>0.81</v>
      </c>
      <c r="L123" s="3" t="str">
        <f>VLOOKUP(C123, Mapping!A:B, 2, FALSE)</f>
        <v>South</v>
      </c>
      <c r="M123" s="3">
        <f t="shared" si="19"/>
        <v>220</v>
      </c>
      <c r="N123" s="3">
        <f t="shared" si="22"/>
        <v>73.333333333333329</v>
      </c>
      <c r="O123" s="3" t="str">
        <f t="shared" si="21"/>
        <v>Average</v>
      </c>
      <c r="P123">
        <f t="shared" si="20"/>
        <v>81</v>
      </c>
      <c r="Q123">
        <f t="shared" si="9"/>
        <v>80</v>
      </c>
    </row>
    <row r="124" spans="1:17">
      <c r="A124" s="3">
        <v>108</v>
      </c>
      <c r="B124" s="3" t="s">
        <v>66</v>
      </c>
      <c r="C124" s="6" t="s">
        <v>10</v>
      </c>
      <c r="D124" s="3" t="s">
        <v>3</v>
      </c>
      <c r="E124" s="3">
        <v>59</v>
      </c>
      <c r="F124" s="3">
        <v>59</v>
      </c>
      <c r="G124" s="3">
        <v>66</v>
      </c>
      <c r="H124" s="4" t="s">
        <v>39</v>
      </c>
      <c r="I124" s="3" t="s">
        <v>21</v>
      </c>
      <c r="J124" s="3" t="str">
        <f>UPPER(C34)</f>
        <v>CHENNAI</v>
      </c>
      <c r="K124" s="3">
        <v>0.79</v>
      </c>
      <c r="L124" s="3" t="str">
        <f>VLOOKUP(C124, Mapping!A:B, 2, FALSE)</f>
        <v>South</v>
      </c>
      <c r="M124" s="3">
        <f t="shared" si="19"/>
        <v>184</v>
      </c>
      <c r="N124" s="3">
        <f t="shared" si="22"/>
        <v>61.333333333333336</v>
      </c>
      <c r="O124" s="3" t="str">
        <f t="shared" si="21"/>
        <v>Average</v>
      </c>
      <c r="P124">
        <f t="shared" si="20"/>
        <v>79</v>
      </c>
      <c r="Q124">
        <f t="shared" si="9"/>
        <v>70</v>
      </c>
    </row>
    <row r="125" spans="1:17">
      <c r="A125" s="3">
        <v>106</v>
      </c>
      <c r="B125" s="3" t="s">
        <v>82</v>
      </c>
      <c r="C125" s="6" t="s">
        <v>9</v>
      </c>
      <c r="D125" s="3" t="s">
        <v>5</v>
      </c>
      <c r="E125" s="3">
        <v>84</v>
      </c>
      <c r="F125" s="3">
        <v>66</v>
      </c>
      <c r="G125" s="3">
        <v>59</v>
      </c>
      <c r="H125" s="4">
        <v>0.82</v>
      </c>
      <c r="I125" s="3" t="s">
        <v>21</v>
      </c>
      <c r="J125" s="3" t="str">
        <f>UPPER(C18)</f>
        <v>BANGALORE</v>
      </c>
      <c r="K125" s="3">
        <v>0.82</v>
      </c>
      <c r="L125" s="3" t="str">
        <f>VLOOKUP(C125, Mapping!A:B, 2, FALSE)</f>
        <v>South</v>
      </c>
      <c r="M125" s="3">
        <f t="shared" si="19"/>
        <v>209</v>
      </c>
      <c r="N125" s="3">
        <f t="shared" si="22"/>
        <v>69.666666666666671</v>
      </c>
      <c r="O125" s="3" t="str">
        <f t="shared" si="21"/>
        <v>Average</v>
      </c>
      <c r="P125">
        <f t="shared" si="20"/>
        <v>82</v>
      </c>
      <c r="Q125">
        <f t="shared" si="9"/>
        <v>80</v>
      </c>
    </row>
    <row r="126" spans="1:17">
      <c r="A126" s="3">
        <v>148</v>
      </c>
      <c r="B126" s="3" t="s">
        <v>88</v>
      </c>
      <c r="C126" s="6" t="s">
        <v>42</v>
      </c>
      <c r="D126" s="3" t="s">
        <v>4</v>
      </c>
      <c r="E126" s="3">
        <v>90</v>
      </c>
      <c r="F126" s="3">
        <v>59</v>
      </c>
      <c r="G126" s="3">
        <v>78</v>
      </c>
      <c r="H126" s="4" t="s">
        <v>51</v>
      </c>
      <c r="I126" s="3" t="s">
        <v>21</v>
      </c>
      <c r="J126" s="3" t="str">
        <f>UPPER(C18)</f>
        <v>BANGALORE</v>
      </c>
      <c r="K126" s="3">
        <v>0.92</v>
      </c>
      <c r="L126" s="3" t="str">
        <f>VLOOKUP(C126, Mapping!A:B, 2, FALSE)</f>
        <v>South</v>
      </c>
      <c r="M126" s="3">
        <f t="shared" si="19"/>
        <v>227</v>
      </c>
      <c r="N126" s="3">
        <f t="shared" si="22"/>
        <v>75.666666666666671</v>
      </c>
      <c r="O126" s="3" t="str">
        <f t="shared" si="21"/>
        <v>Average</v>
      </c>
      <c r="P126">
        <f t="shared" si="20"/>
        <v>92</v>
      </c>
      <c r="Q126">
        <f t="shared" si="9"/>
        <v>90</v>
      </c>
    </row>
    <row r="127" spans="1:17">
      <c r="A127" s="3">
        <v>66</v>
      </c>
      <c r="B127" s="3" t="s">
        <v>107</v>
      </c>
      <c r="C127" s="6" t="s">
        <v>11</v>
      </c>
      <c r="D127" s="3" t="s">
        <v>2</v>
      </c>
      <c r="E127" s="3">
        <v>92</v>
      </c>
      <c r="F127" s="3">
        <v>61</v>
      </c>
      <c r="G127" s="3">
        <v>68</v>
      </c>
      <c r="H127" s="4">
        <v>0.78</v>
      </c>
      <c r="I127" s="3" t="s">
        <v>21</v>
      </c>
      <c r="J127" s="3" t="str">
        <f>UPPER(C20)</f>
        <v>HYDERABAD</v>
      </c>
      <c r="K127" s="3">
        <v>0.78</v>
      </c>
      <c r="L127" s="3" t="str">
        <f>VLOOKUP(C127, Mapping!A:B, 2, FALSE)</f>
        <v>South</v>
      </c>
      <c r="M127" s="3">
        <f t="shared" si="19"/>
        <v>221</v>
      </c>
      <c r="N127" s="3">
        <f t="shared" si="22"/>
        <v>73.666666666666671</v>
      </c>
      <c r="O127" s="3" t="str">
        <f t="shared" si="21"/>
        <v>Average</v>
      </c>
      <c r="P127">
        <f t="shared" si="20"/>
        <v>78</v>
      </c>
      <c r="Q127">
        <f t="shared" si="9"/>
        <v>70</v>
      </c>
    </row>
    <row r="128" spans="1:17">
      <c r="A128" s="3">
        <v>133</v>
      </c>
      <c r="B128" s="3" t="s">
        <v>73</v>
      </c>
      <c r="C128" s="6" t="s">
        <v>10</v>
      </c>
      <c r="D128" s="3" t="s">
        <v>4</v>
      </c>
      <c r="E128" s="3">
        <v>74</v>
      </c>
      <c r="F128" s="3">
        <v>59</v>
      </c>
      <c r="G128" s="3">
        <v>59</v>
      </c>
      <c r="H128" s="4">
        <v>0.82</v>
      </c>
      <c r="I128" s="3" t="s">
        <v>21</v>
      </c>
      <c r="J128" s="3" t="str">
        <f>UPPER(C34)</f>
        <v>CHENNAI</v>
      </c>
      <c r="K128" s="3">
        <v>0.82</v>
      </c>
      <c r="L128" s="3" t="str">
        <f>VLOOKUP(C128, Mapping!A:B, 2, FALSE)</f>
        <v>South</v>
      </c>
      <c r="M128" s="3">
        <f>E128 + F128 + G128</f>
        <v>192</v>
      </c>
      <c r="N128" s="3">
        <f t="shared" si="22"/>
        <v>64</v>
      </c>
      <c r="O128" s="3" t="str">
        <f t="shared" si="21"/>
        <v>Average</v>
      </c>
      <c r="P128">
        <f t="shared" si="20"/>
        <v>82</v>
      </c>
      <c r="Q128">
        <f t="shared" si="9"/>
        <v>80</v>
      </c>
    </row>
    <row r="129" spans="1:17">
      <c r="A129" s="3">
        <v>140</v>
      </c>
      <c r="B129" s="3" t="s">
        <v>80</v>
      </c>
      <c r="C129" s="6" t="s">
        <v>10</v>
      </c>
      <c r="D129" s="3" t="s">
        <v>3</v>
      </c>
      <c r="E129" s="3">
        <v>59</v>
      </c>
      <c r="F129" s="3">
        <v>90</v>
      </c>
      <c r="G129" s="3">
        <v>59</v>
      </c>
      <c r="H129" s="4">
        <v>0.87</v>
      </c>
      <c r="I129" s="3" t="s">
        <v>21</v>
      </c>
      <c r="J129" s="3" t="str">
        <f>UPPER(C34)</f>
        <v>CHENNAI</v>
      </c>
      <c r="K129" s="3">
        <v>0.87</v>
      </c>
      <c r="L129" s="3" t="str">
        <f>VLOOKUP(C129, Mapping!A:B, 2, FALSE)</f>
        <v>South</v>
      </c>
      <c r="M129" s="3">
        <f t="shared" ref="M129:M148" si="23">E129 + F129 + G129</f>
        <v>208</v>
      </c>
      <c r="N129" s="3">
        <f t="shared" si="22"/>
        <v>69.333333333333329</v>
      </c>
      <c r="O129" s="3" t="str">
        <f t="shared" si="21"/>
        <v>Average</v>
      </c>
      <c r="P129">
        <f t="shared" si="20"/>
        <v>87</v>
      </c>
      <c r="Q129">
        <f t="shared" si="9"/>
        <v>80</v>
      </c>
    </row>
    <row r="130" spans="1:17">
      <c r="A130" s="3">
        <v>95</v>
      </c>
      <c r="B130" s="3" t="s">
        <v>108</v>
      </c>
      <c r="C130" s="6" t="s">
        <v>104</v>
      </c>
      <c r="D130" s="3" t="s">
        <v>4</v>
      </c>
      <c r="E130" s="3">
        <v>68</v>
      </c>
      <c r="F130" s="3">
        <v>59</v>
      </c>
      <c r="G130" s="3">
        <v>71</v>
      </c>
      <c r="H130" s="4">
        <v>0.76</v>
      </c>
      <c r="I130" s="3" t="s">
        <v>21</v>
      </c>
      <c r="J130" s="3" t="str">
        <f>UPPER(C34)</f>
        <v>CHENNAI</v>
      </c>
      <c r="K130" s="3">
        <v>0.76</v>
      </c>
      <c r="L130" s="3" t="str">
        <f>VLOOKUP(C130, Mapping!A:B, 2, FALSE)</f>
        <v>South</v>
      </c>
      <c r="M130" s="3">
        <f t="shared" si="23"/>
        <v>198</v>
      </c>
      <c r="N130" s="3">
        <f t="shared" si="22"/>
        <v>66</v>
      </c>
      <c r="O130" s="3" t="str">
        <f t="shared" si="21"/>
        <v>Average</v>
      </c>
      <c r="P130">
        <f>K130*100</f>
        <v>76</v>
      </c>
      <c r="Q130">
        <f t="shared" si="9"/>
        <v>70</v>
      </c>
    </row>
    <row r="131" spans="1:17">
      <c r="A131" s="3">
        <v>124</v>
      </c>
      <c r="B131" s="3" t="s">
        <v>64</v>
      </c>
      <c r="C131" s="6" t="s">
        <v>42</v>
      </c>
      <c r="D131" s="3" t="s">
        <v>5</v>
      </c>
      <c r="E131" s="3">
        <v>74</v>
      </c>
      <c r="F131" s="3">
        <v>58</v>
      </c>
      <c r="G131" s="3">
        <v>78</v>
      </c>
      <c r="H131" s="4" t="s">
        <v>51</v>
      </c>
      <c r="I131" s="3" t="s">
        <v>21</v>
      </c>
      <c r="J131" s="3" t="str">
        <f>UPPER(C18)</f>
        <v>BANGALORE</v>
      </c>
      <c r="K131" s="3">
        <v>0.92</v>
      </c>
      <c r="L131" s="3" t="str">
        <f>VLOOKUP(C131, Mapping!A:B, 2, FALSE)</f>
        <v>South</v>
      </c>
      <c r="M131" s="3">
        <f t="shared" si="23"/>
        <v>210</v>
      </c>
      <c r="N131" s="3">
        <f t="shared" si="22"/>
        <v>70</v>
      </c>
      <c r="O131" s="3" t="str">
        <f t="shared" si="21"/>
        <v>Average</v>
      </c>
      <c r="P131">
        <f t="shared" ref="P131:P150" si="24">K131*100</f>
        <v>92</v>
      </c>
      <c r="Q131">
        <f t="shared" ref="Q131:Q153" si="25">FLOOR(P131,10)</f>
        <v>90</v>
      </c>
    </row>
    <row r="132" spans="1:17">
      <c r="A132" s="3">
        <v>121</v>
      </c>
      <c r="B132" s="3" t="s">
        <v>61</v>
      </c>
      <c r="C132" s="6" t="s">
        <v>10</v>
      </c>
      <c r="D132" s="3" t="s">
        <v>3</v>
      </c>
      <c r="E132" s="3">
        <v>90</v>
      </c>
      <c r="F132" s="3">
        <v>78</v>
      </c>
      <c r="G132" s="3">
        <v>86</v>
      </c>
      <c r="H132" s="4">
        <v>0.79</v>
      </c>
      <c r="I132" s="3" t="s">
        <v>21</v>
      </c>
      <c r="J132" s="3" t="str">
        <f>UPPER(C34)</f>
        <v>CHENNAI</v>
      </c>
      <c r="K132" s="3">
        <v>0.79</v>
      </c>
      <c r="L132" s="3" t="str">
        <f>VLOOKUP(C132, Mapping!A:B, 2, FALSE)</f>
        <v>South</v>
      </c>
      <c r="M132" s="3">
        <f t="shared" si="23"/>
        <v>254</v>
      </c>
      <c r="N132" s="3">
        <f t="shared" si="22"/>
        <v>84.666666666666671</v>
      </c>
      <c r="O132" s="3" t="str">
        <f t="shared" si="21"/>
        <v>Top</v>
      </c>
      <c r="P132">
        <f t="shared" si="24"/>
        <v>79</v>
      </c>
      <c r="Q132">
        <f t="shared" si="25"/>
        <v>70</v>
      </c>
    </row>
    <row r="133" spans="1:17">
      <c r="A133" s="3">
        <v>82</v>
      </c>
      <c r="B133" s="3" t="s">
        <v>109</v>
      </c>
      <c r="C133" s="6" t="s">
        <v>11</v>
      </c>
      <c r="D133" s="3" t="s">
        <v>2</v>
      </c>
      <c r="E133" s="3">
        <v>93</v>
      </c>
      <c r="F133" s="3">
        <v>72</v>
      </c>
      <c r="G133" s="3">
        <v>87</v>
      </c>
      <c r="H133" s="4">
        <v>0.78</v>
      </c>
      <c r="I133" s="3" t="s">
        <v>21</v>
      </c>
      <c r="J133" s="3" t="str">
        <f>UPPER(C20)</f>
        <v>HYDERABAD</v>
      </c>
      <c r="K133" s="3">
        <v>0.78</v>
      </c>
      <c r="L133" s="3" t="str">
        <f>VLOOKUP(C133, Mapping!A:B, 2, FALSE)</f>
        <v>South</v>
      </c>
      <c r="M133" s="3">
        <f t="shared" si="23"/>
        <v>252</v>
      </c>
      <c r="N133" s="3">
        <f t="shared" si="22"/>
        <v>84</v>
      </c>
      <c r="O133" s="3" t="str">
        <f>IF(N133&gt;80,"Top",IF(N133&gt;60,"Average","Low"))</f>
        <v>Top</v>
      </c>
      <c r="P133">
        <f t="shared" si="24"/>
        <v>78</v>
      </c>
      <c r="Q133">
        <f t="shared" si="25"/>
        <v>70</v>
      </c>
    </row>
    <row r="134" spans="1:17">
      <c r="A134" s="3">
        <v>94</v>
      </c>
      <c r="B134" s="3" t="s">
        <v>66</v>
      </c>
      <c r="C134" s="6" t="s">
        <v>10</v>
      </c>
      <c r="D134" s="3" t="s">
        <v>4</v>
      </c>
      <c r="E134" s="3">
        <v>59</v>
      </c>
      <c r="F134" s="3">
        <v>59</v>
      </c>
      <c r="G134" s="3">
        <v>66</v>
      </c>
      <c r="H134" s="4" t="s">
        <v>45</v>
      </c>
      <c r="I134" s="3" t="s">
        <v>21</v>
      </c>
      <c r="J134" s="3" t="str">
        <f>UPPER(C34)</f>
        <v>CHENNAI</v>
      </c>
      <c r="K134" s="3">
        <v>0.85</v>
      </c>
      <c r="L134" s="3" t="str">
        <f>VLOOKUP(C134, Mapping!A:B, 2, FALSE)</f>
        <v>South</v>
      </c>
      <c r="M134" s="3">
        <f t="shared" si="23"/>
        <v>184</v>
      </c>
      <c r="N134" s="3">
        <f t="shared" si="22"/>
        <v>61.333333333333336</v>
      </c>
      <c r="O134" s="3" t="str">
        <f t="shared" ref="O134:O152" si="26">IF(N134&gt;80,"Top",IF(N134&gt;60,"Average","Low"))</f>
        <v>Average</v>
      </c>
      <c r="P134">
        <f t="shared" si="24"/>
        <v>85</v>
      </c>
      <c r="Q134">
        <f t="shared" si="25"/>
        <v>80</v>
      </c>
    </row>
    <row r="135" spans="1:17">
      <c r="A135" s="3">
        <v>120</v>
      </c>
      <c r="B135" s="3" t="s">
        <v>60</v>
      </c>
      <c r="C135" s="6" t="s">
        <v>42</v>
      </c>
      <c r="D135" s="3" t="s">
        <v>5</v>
      </c>
      <c r="E135" s="3">
        <v>58</v>
      </c>
      <c r="F135" s="3">
        <v>74</v>
      </c>
      <c r="G135" s="3">
        <v>59</v>
      </c>
      <c r="H135" s="4">
        <v>0.82</v>
      </c>
      <c r="I135" s="3" t="s">
        <v>21</v>
      </c>
      <c r="J135" s="3" t="str">
        <f>UPPER(C18)</f>
        <v>BANGALORE</v>
      </c>
      <c r="K135" s="3">
        <v>0.82</v>
      </c>
      <c r="L135" s="3" t="str">
        <f>VLOOKUP(C135, Mapping!A:B, 2, FALSE)</f>
        <v>South</v>
      </c>
      <c r="M135" s="3">
        <f t="shared" si="23"/>
        <v>191</v>
      </c>
      <c r="N135" s="3">
        <f t="shared" si="22"/>
        <v>63.666666666666664</v>
      </c>
      <c r="O135" s="3" t="str">
        <f t="shared" si="26"/>
        <v>Average</v>
      </c>
      <c r="P135">
        <f t="shared" si="24"/>
        <v>82</v>
      </c>
      <c r="Q135">
        <f t="shared" si="25"/>
        <v>80</v>
      </c>
    </row>
    <row r="136" spans="1:17">
      <c r="A136" s="3">
        <v>148</v>
      </c>
      <c r="B136" s="3" t="s">
        <v>88</v>
      </c>
      <c r="C136" s="6" t="s">
        <v>42</v>
      </c>
      <c r="D136" s="3" t="s">
        <v>4</v>
      </c>
      <c r="E136" s="3">
        <v>90</v>
      </c>
      <c r="F136" s="3">
        <v>59</v>
      </c>
      <c r="G136" s="3">
        <v>95</v>
      </c>
      <c r="H136" s="4">
        <v>0.87</v>
      </c>
      <c r="I136" s="3" t="s">
        <v>21</v>
      </c>
      <c r="J136" s="3" t="str">
        <f>UPPER(C18)</f>
        <v>BANGALORE</v>
      </c>
      <c r="K136" s="3">
        <v>0.87</v>
      </c>
      <c r="L136" s="3" t="str">
        <f>VLOOKUP(C136, Mapping!A:B, 2, FALSE)</f>
        <v>South</v>
      </c>
      <c r="M136" s="3">
        <f t="shared" si="23"/>
        <v>244</v>
      </c>
      <c r="N136" s="3">
        <f t="shared" si="22"/>
        <v>81.333333333333329</v>
      </c>
      <c r="O136" s="3" t="str">
        <f t="shared" si="26"/>
        <v>Top</v>
      </c>
      <c r="P136">
        <f t="shared" si="24"/>
        <v>87</v>
      </c>
      <c r="Q136">
        <f t="shared" si="25"/>
        <v>80</v>
      </c>
    </row>
    <row r="137" spans="1:17">
      <c r="A137" s="3">
        <v>133</v>
      </c>
      <c r="B137" s="3" t="s">
        <v>73</v>
      </c>
      <c r="C137" s="6" t="s">
        <v>42</v>
      </c>
      <c r="D137" s="3" t="s">
        <v>5</v>
      </c>
      <c r="E137" s="3">
        <v>74</v>
      </c>
      <c r="F137" s="3">
        <v>59</v>
      </c>
      <c r="G137" s="3">
        <v>59</v>
      </c>
      <c r="H137" s="4">
        <v>0.82</v>
      </c>
      <c r="I137" s="3" t="s">
        <v>21</v>
      </c>
      <c r="J137" s="3" t="str">
        <f>UPPER(C18)</f>
        <v>BANGALORE</v>
      </c>
      <c r="K137" s="3">
        <v>0.82</v>
      </c>
      <c r="L137" s="3" t="str">
        <f>VLOOKUP(C137, Mapping!A:B, 2, FALSE)</f>
        <v>South</v>
      </c>
      <c r="M137" s="3">
        <f t="shared" si="23"/>
        <v>192</v>
      </c>
      <c r="N137" s="3">
        <f t="shared" si="22"/>
        <v>64</v>
      </c>
      <c r="O137" s="3" t="str">
        <f t="shared" si="26"/>
        <v>Average</v>
      </c>
      <c r="P137">
        <f t="shared" si="24"/>
        <v>82</v>
      </c>
      <c r="Q137">
        <f t="shared" si="25"/>
        <v>80</v>
      </c>
    </row>
    <row r="138" spans="1:17">
      <c r="A138" s="3">
        <v>121</v>
      </c>
      <c r="B138" s="3" t="s">
        <v>61</v>
      </c>
      <c r="C138" s="6" t="s">
        <v>10</v>
      </c>
      <c r="D138" s="3" t="s">
        <v>3</v>
      </c>
      <c r="E138" s="3">
        <v>90</v>
      </c>
      <c r="F138" s="3">
        <v>78</v>
      </c>
      <c r="G138" s="3">
        <v>66</v>
      </c>
      <c r="H138" s="4" t="s">
        <v>39</v>
      </c>
      <c r="I138" s="3" t="s">
        <v>21</v>
      </c>
      <c r="J138" s="3" t="str">
        <f>UPPER(C34)</f>
        <v>CHENNAI</v>
      </c>
      <c r="K138" s="3">
        <v>0.66</v>
      </c>
      <c r="L138" s="3" t="str">
        <f>VLOOKUP(C138, Mapping!A:B, 2, FALSE)</f>
        <v>South</v>
      </c>
      <c r="M138" s="3">
        <f t="shared" si="23"/>
        <v>234</v>
      </c>
      <c r="N138" s="3">
        <f t="shared" si="22"/>
        <v>78</v>
      </c>
      <c r="O138" s="3" t="str">
        <f t="shared" si="26"/>
        <v>Average</v>
      </c>
      <c r="P138">
        <f t="shared" si="24"/>
        <v>66</v>
      </c>
      <c r="Q138">
        <f t="shared" si="25"/>
        <v>60</v>
      </c>
    </row>
    <row r="139" spans="1:17">
      <c r="A139" s="3">
        <v>37</v>
      </c>
      <c r="B139" s="3" t="s">
        <v>110</v>
      </c>
      <c r="C139" s="6" t="s">
        <v>104</v>
      </c>
      <c r="D139" s="3" t="s">
        <v>4</v>
      </c>
      <c r="E139" s="3">
        <v>62</v>
      </c>
      <c r="F139" s="3">
        <v>81</v>
      </c>
      <c r="G139" s="3">
        <v>90</v>
      </c>
      <c r="H139" s="4" t="s">
        <v>111</v>
      </c>
      <c r="I139" s="3" t="s">
        <v>21</v>
      </c>
      <c r="J139" s="3" t="str">
        <f>UPPER(C34)</f>
        <v>CHENNAI</v>
      </c>
      <c r="K139" s="3">
        <v>0.9</v>
      </c>
      <c r="L139" s="3" t="str">
        <f>VLOOKUP(C139, Mapping!A:B, 2, FALSE)</f>
        <v>South</v>
      </c>
      <c r="M139" s="3">
        <f t="shared" si="23"/>
        <v>233</v>
      </c>
      <c r="N139" s="3">
        <f>AVERAGE(E139, F139, G139)</f>
        <v>77.666666666666671</v>
      </c>
      <c r="O139" s="3" t="str">
        <f t="shared" si="26"/>
        <v>Average</v>
      </c>
      <c r="P139">
        <f t="shared" si="24"/>
        <v>90</v>
      </c>
      <c r="Q139">
        <f t="shared" si="25"/>
        <v>90</v>
      </c>
    </row>
    <row r="140" spans="1:17">
      <c r="A140" s="3">
        <v>124</v>
      </c>
      <c r="B140" s="3" t="s">
        <v>64</v>
      </c>
      <c r="C140" s="6" t="s">
        <v>42</v>
      </c>
      <c r="D140" s="3" t="s">
        <v>4</v>
      </c>
      <c r="E140" s="3">
        <v>74</v>
      </c>
      <c r="F140" s="3">
        <v>66</v>
      </c>
      <c r="G140" s="3">
        <v>78</v>
      </c>
      <c r="H140" s="4">
        <v>0.9</v>
      </c>
      <c r="I140" s="3" t="s">
        <v>21</v>
      </c>
      <c r="J140" s="3" t="s">
        <v>42</v>
      </c>
      <c r="K140" s="3">
        <v>0.9</v>
      </c>
      <c r="L140" s="3" t="str">
        <f>VLOOKUP(C140, Mapping!A:B, 2, FALSE)</f>
        <v>South</v>
      </c>
      <c r="M140" s="3">
        <f t="shared" si="23"/>
        <v>218</v>
      </c>
      <c r="N140" s="3">
        <f t="shared" ref="N140:N153" si="27">AVERAGE(E140, F140, G140)</f>
        <v>72.666666666666671</v>
      </c>
      <c r="O140" s="3" t="str">
        <f t="shared" si="26"/>
        <v>Average</v>
      </c>
      <c r="P140">
        <f t="shared" si="24"/>
        <v>90</v>
      </c>
      <c r="Q140">
        <f t="shared" si="25"/>
        <v>90</v>
      </c>
    </row>
    <row r="141" spans="1:17">
      <c r="A141" s="3">
        <v>149</v>
      </c>
      <c r="B141" s="3" t="s">
        <v>89</v>
      </c>
      <c r="C141" s="6" t="s">
        <v>10</v>
      </c>
      <c r="D141" s="3" t="s">
        <v>5</v>
      </c>
      <c r="E141" s="3">
        <v>78</v>
      </c>
      <c r="F141" s="3">
        <v>59</v>
      </c>
      <c r="G141" s="3">
        <v>90</v>
      </c>
      <c r="H141" s="4" t="s">
        <v>51</v>
      </c>
      <c r="I141" s="3" t="s">
        <v>21</v>
      </c>
      <c r="J141" s="3" t="str">
        <f>UPPER(C34)</f>
        <v>CHENNAI</v>
      </c>
      <c r="K141" s="3">
        <v>0.92</v>
      </c>
      <c r="L141" s="3" t="str">
        <f>VLOOKUP(C141, Mapping!A:B, 2, FALSE)</f>
        <v>South</v>
      </c>
      <c r="M141" s="3">
        <f t="shared" si="23"/>
        <v>227</v>
      </c>
      <c r="N141" s="3">
        <f t="shared" si="27"/>
        <v>75.666666666666671</v>
      </c>
      <c r="O141" s="3" t="str">
        <f t="shared" si="26"/>
        <v>Average</v>
      </c>
      <c r="P141">
        <f t="shared" si="24"/>
        <v>92</v>
      </c>
      <c r="Q141">
        <f t="shared" si="25"/>
        <v>90</v>
      </c>
    </row>
    <row r="142" spans="1:17">
      <c r="A142" s="3">
        <v>190</v>
      </c>
      <c r="B142" s="3" t="s">
        <v>112</v>
      </c>
      <c r="C142" s="6" t="s">
        <v>9</v>
      </c>
      <c r="D142" s="3" t="s">
        <v>5</v>
      </c>
      <c r="E142" s="3">
        <v>59</v>
      </c>
      <c r="F142" s="3">
        <v>72</v>
      </c>
      <c r="G142" s="3">
        <v>83</v>
      </c>
      <c r="H142" s="4">
        <v>0.93</v>
      </c>
      <c r="I142" s="3" t="s">
        <v>21</v>
      </c>
      <c r="J142" s="3" t="str">
        <f>UPPER(C6)</f>
        <v>BANGALORE</v>
      </c>
      <c r="K142" s="3">
        <v>0.93</v>
      </c>
      <c r="L142" s="3" t="str">
        <f>VLOOKUP(C142, Mapping!A:B, 2, FALSE)</f>
        <v>South</v>
      </c>
      <c r="M142" s="3">
        <f t="shared" si="23"/>
        <v>214</v>
      </c>
      <c r="N142" s="3">
        <f t="shared" si="27"/>
        <v>71.333333333333329</v>
      </c>
      <c r="O142" s="3" t="str">
        <f t="shared" si="26"/>
        <v>Average</v>
      </c>
      <c r="P142">
        <f t="shared" si="24"/>
        <v>93</v>
      </c>
      <c r="Q142">
        <f t="shared" si="25"/>
        <v>90</v>
      </c>
    </row>
    <row r="143" spans="1:17">
      <c r="A143" s="3">
        <v>131</v>
      </c>
      <c r="B143" s="3" t="s">
        <v>113</v>
      </c>
      <c r="C143" s="6" t="s">
        <v>9</v>
      </c>
      <c r="D143" s="3" t="s">
        <v>4</v>
      </c>
      <c r="E143" s="3">
        <v>88</v>
      </c>
      <c r="F143" s="3">
        <v>76</v>
      </c>
      <c r="G143" s="3">
        <v>58</v>
      </c>
      <c r="H143" s="4">
        <v>0.98</v>
      </c>
      <c r="I143" s="3" t="s">
        <v>21</v>
      </c>
      <c r="J143" s="3" t="str">
        <f>UPPER(C18)</f>
        <v>BANGALORE</v>
      </c>
      <c r="K143" s="3">
        <v>0.98</v>
      </c>
      <c r="L143" s="3" t="str">
        <f>VLOOKUP(C143, Mapping!A:B, 2, FALSE)</f>
        <v>South</v>
      </c>
      <c r="M143" s="3">
        <f t="shared" si="23"/>
        <v>222</v>
      </c>
      <c r="N143" s="3">
        <f t="shared" si="27"/>
        <v>74</v>
      </c>
      <c r="O143" s="3" t="str">
        <f t="shared" si="26"/>
        <v>Average</v>
      </c>
      <c r="P143">
        <f t="shared" si="24"/>
        <v>98</v>
      </c>
      <c r="Q143">
        <f t="shared" si="25"/>
        <v>90</v>
      </c>
    </row>
    <row r="144" spans="1:17">
      <c r="A144" s="3">
        <v>132</v>
      </c>
      <c r="B144" s="3" t="s">
        <v>114</v>
      </c>
      <c r="C144" s="6" t="s">
        <v>10</v>
      </c>
      <c r="D144" s="3" t="s">
        <v>4</v>
      </c>
      <c r="E144" s="3">
        <v>83</v>
      </c>
      <c r="F144" s="3">
        <v>76</v>
      </c>
      <c r="G144" s="3">
        <v>83</v>
      </c>
      <c r="H144" s="4">
        <v>0.89</v>
      </c>
      <c r="I144" s="3" t="s">
        <v>21</v>
      </c>
      <c r="J144" s="3" t="str">
        <f>UPPER(C34)</f>
        <v>CHENNAI</v>
      </c>
      <c r="K144" s="3">
        <v>0.89</v>
      </c>
      <c r="L144" s="3" t="str">
        <f>VLOOKUP(C144, Mapping!A:B, 2, FALSE)</f>
        <v>South</v>
      </c>
      <c r="M144" s="3">
        <f t="shared" si="23"/>
        <v>242</v>
      </c>
      <c r="N144" s="3">
        <f t="shared" si="27"/>
        <v>80.666666666666671</v>
      </c>
      <c r="O144" s="3" t="str">
        <f t="shared" si="26"/>
        <v>Top</v>
      </c>
      <c r="P144">
        <f t="shared" si="24"/>
        <v>89</v>
      </c>
      <c r="Q144">
        <f t="shared" si="25"/>
        <v>80</v>
      </c>
    </row>
    <row r="145" spans="1:17">
      <c r="A145" s="3">
        <v>168</v>
      </c>
      <c r="B145" s="3" t="s">
        <v>115</v>
      </c>
      <c r="C145" s="6" t="s">
        <v>42</v>
      </c>
      <c r="D145" s="3" t="s">
        <v>4</v>
      </c>
      <c r="E145" s="3">
        <v>87</v>
      </c>
      <c r="F145" s="3">
        <v>79</v>
      </c>
      <c r="G145" s="3">
        <v>68</v>
      </c>
      <c r="H145" s="4">
        <v>0.83</v>
      </c>
      <c r="I145" s="3" t="s">
        <v>21</v>
      </c>
      <c r="J145" s="3" t="str">
        <f>UPPER(C18)</f>
        <v>BANGALORE</v>
      </c>
      <c r="K145" s="3">
        <v>0.83</v>
      </c>
      <c r="L145" s="3" t="str">
        <f>VLOOKUP(C145, Mapping!A:B, 2, FALSE)</f>
        <v>South</v>
      </c>
      <c r="M145" s="3">
        <f t="shared" si="23"/>
        <v>234</v>
      </c>
      <c r="N145" s="3">
        <f t="shared" si="27"/>
        <v>78</v>
      </c>
      <c r="O145" s="3" t="str">
        <f t="shared" si="26"/>
        <v>Average</v>
      </c>
      <c r="P145">
        <f t="shared" si="24"/>
        <v>83</v>
      </c>
      <c r="Q145">
        <f t="shared" si="25"/>
        <v>80</v>
      </c>
    </row>
    <row r="146" spans="1:17">
      <c r="A146" s="3">
        <v>299</v>
      </c>
      <c r="B146" s="3" t="s">
        <v>116</v>
      </c>
      <c r="C146" s="6" t="s">
        <v>9</v>
      </c>
      <c r="D146" s="3" t="s">
        <v>5</v>
      </c>
      <c r="E146" s="3">
        <v>98</v>
      </c>
      <c r="F146" s="3">
        <v>79</v>
      </c>
      <c r="G146" s="3">
        <v>50</v>
      </c>
      <c r="H146" s="4">
        <v>0.91</v>
      </c>
      <c r="I146" s="3" t="s">
        <v>21</v>
      </c>
      <c r="J146" s="3" t="str">
        <f>UPPER(C6)</f>
        <v>BANGALORE</v>
      </c>
      <c r="K146" s="3">
        <v>0.91</v>
      </c>
      <c r="L146" s="3" t="str">
        <f>VLOOKUP(C146, Mapping!A:B, 2, FALSE)</f>
        <v>South</v>
      </c>
      <c r="M146" s="3">
        <f t="shared" si="23"/>
        <v>227</v>
      </c>
      <c r="N146" s="3">
        <f t="shared" si="27"/>
        <v>75.666666666666671</v>
      </c>
      <c r="O146" s="3" t="str">
        <f t="shared" si="26"/>
        <v>Average</v>
      </c>
      <c r="P146">
        <f t="shared" si="24"/>
        <v>91</v>
      </c>
      <c r="Q146">
        <f t="shared" si="25"/>
        <v>90</v>
      </c>
    </row>
    <row r="147" spans="1:17">
      <c r="A147" s="3">
        <v>298</v>
      </c>
      <c r="B147" s="3" t="s">
        <v>36</v>
      </c>
      <c r="C147" s="6" t="s">
        <v>47</v>
      </c>
      <c r="D147" s="3" t="s">
        <v>4</v>
      </c>
      <c r="E147" s="3">
        <v>79</v>
      </c>
      <c r="F147" s="3">
        <v>89</v>
      </c>
      <c r="G147" s="3">
        <v>50</v>
      </c>
      <c r="H147" s="3" t="s">
        <v>117</v>
      </c>
      <c r="I147" s="3" t="s">
        <v>21</v>
      </c>
      <c r="J147" s="3" t="str">
        <f>UPPER(C20)</f>
        <v>HYDERABAD</v>
      </c>
      <c r="K147" s="3">
        <v>0.84</v>
      </c>
      <c r="L147" s="3" t="str">
        <f>VLOOKUP(C147, Mapping!A:B, 2, FALSE)</f>
        <v>South</v>
      </c>
      <c r="M147" s="3">
        <f t="shared" si="23"/>
        <v>218</v>
      </c>
      <c r="N147" s="3">
        <f t="shared" si="27"/>
        <v>72.666666666666671</v>
      </c>
      <c r="O147" s="3" t="str">
        <f t="shared" si="26"/>
        <v>Average</v>
      </c>
      <c r="P147">
        <f t="shared" si="24"/>
        <v>84</v>
      </c>
      <c r="Q147">
        <f t="shared" si="25"/>
        <v>80</v>
      </c>
    </row>
    <row r="148" spans="1:17">
      <c r="A148" s="3">
        <v>277</v>
      </c>
      <c r="B148" s="3" t="s">
        <v>118</v>
      </c>
      <c r="C148" s="6" t="s">
        <v>100</v>
      </c>
      <c r="D148" s="3" t="s">
        <v>5</v>
      </c>
      <c r="E148" s="3">
        <v>79</v>
      </c>
      <c r="F148" s="3">
        <v>96</v>
      </c>
      <c r="G148" s="3">
        <v>74</v>
      </c>
      <c r="H148" s="4">
        <v>0.94</v>
      </c>
      <c r="I148" s="3" t="s">
        <v>21</v>
      </c>
      <c r="J148" s="3" t="s">
        <v>12</v>
      </c>
      <c r="K148" s="3">
        <v>0.94</v>
      </c>
      <c r="L148" s="3" t="str">
        <f>VLOOKUP(C148, Mapping!A:B, 2, FALSE)</f>
        <v>West</v>
      </c>
      <c r="M148" s="3">
        <f t="shared" si="23"/>
        <v>249</v>
      </c>
      <c r="N148" s="3">
        <f t="shared" si="27"/>
        <v>83</v>
      </c>
      <c r="O148" s="3" t="str">
        <f t="shared" si="26"/>
        <v>Top</v>
      </c>
      <c r="P148">
        <f t="shared" si="24"/>
        <v>94</v>
      </c>
      <c r="Q148">
        <f t="shared" si="25"/>
        <v>90</v>
      </c>
    </row>
    <row r="149" spans="1:17">
      <c r="A149" s="3">
        <v>166</v>
      </c>
      <c r="B149" s="3" t="s">
        <v>119</v>
      </c>
      <c r="C149" s="6" t="s">
        <v>100</v>
      </c>
      <c r="D149" s="3" t="s">
        <v>4</v>
      </c>
      <c r="E149" s="3">
        <v>93</v>
      </c>
      <c r="F149" s="3">
        <v>82</v>
      </c>
      <c r="G149" s="3">
        <v>69</v>
      </c>
      <c r="H149" s="4">
        <v>0.79</v>
      </c>
      <c r="I149" s="3" t="s">
        <v>21</v>
      </c>
      <c r="J149" s="3" t="s">
        <v>12</v>
      </c>
      <c r="K149" s="3">
        <v>0.79</v>
      </c>
      <c r="L149" s="3" t="str">
        <f>VLOOKUP(C149, Mapping!A:B, 2, FALSE)</f>
        <v>West</v>
      </c>
      <c r="M149" s="3">
        <f>E149 + F149 + G149</f>
        <v>244</v>
      </c>
      <c r="N149" s="3">
        <f t="shared" si="27"/>
        <v>81.333333333333329</v>
      </c>
      <c r="O149" s="3" t="str">
        <f t="shared" si="26"/>
        <v>Top</v>
      </c>
      <c r="P149">
        <f t="shared" si="24"/>
        <v>79</v>
      </c>
      <c r="Q149">
        <f t="shared" si="25"/>
        <v>70</v>
      </c>
    </row>
    <row r="150" spans="1:17">
      <c r="A150" s="3">
        <v>287</v>
      </c>
      <c r="B150" s="3" t="s">
        <v>120</v>
      </c>
      <c r="C150" s="6" t="s">
        <v>10</v>
      </c>
      <c r="D150" s="3" t="s">
        <v>4</v>
      </c>
      <c r="E150" s="3">
        <v>96</v>
      </c>
      <c r="F150" s="3">
        <v>81</v>
      </c>
      <c r="G150" s="3">
        <v>84</v>
      </c>
      <c r="H150" s="4">
        <v>0.93</v>
      </c>
      <c r="I150" s="3" t="s">
        <v>21</v>
      </c>
      <c r="J150" s="3" t="str">
        <f>UPPER(C34)</f>
        <v>CHENNAI</v>
      </c>
      <c r="K150" s="3">
        <v>0.93</v>
      </c>
      <c r="L150" s="3" t="str">
        <f>VLOOKUP(C150, Mapping!A:B, 2, FALSE)</f>
        <v>South</v>
      </c>
      <c r="M150" s="3">
        <f t="shared" ref="M150:M153" si="28">E150 + F150 + G150</f>
        <v>261</v>
      </c>
      <c r="N150" s="3">
        <f t="shared" si="27"/>
        <v>87</v>
      </c>
      <c r="O150" s="3" t="str">
        <f t="shared" si="26"/>
        <v>Top</v>
      </c>
      <c r="P150">
        <f t="shared" si="24"/>
        <v>93</v>
      </c>
      <c r="Q150">
        <f t="shared" si="25"/>
        <v>90</v>
      </c>
    </row>
    <row r="151" spans="1:17" ht="29.25">
      <c r="A151" s="3">
        <v>474</v>
      </c>
      <c r="B151" s="3" t="s">
        <v>121</v>
      </c>
      <c r="C151" s="6" t="s">
        <v>47</v>
      </c>
      <c r="D151" s="3" t="s">
        <v>5</v>
      </c>
      <c r="E151" s="3">
        <v>76</v>
      </c>
      <c r="F151" s="3">
        <v>90</v>
      </c>
      <c r="G151" s="3">
        <v>93</v>
      </c>
      <c r="H151" s="5" t="s">
        <v>122</v>
      </c>
      <c r="I151" s="3" t="s">
        <v>21</v>
      </c>
      <c r="J151" s="3" t="str">
        <f>UPPER(C20)</f>
        <v>HYDERABAD</v>
      </c>
      <c r="K151" s="3">
        <v>0.75</v>
      </c>
      <c r="L151" s="3" t="str">
        <f>VLOOKUP(C151, Mapping!A:B, 2, FALSE)</f>
        <v>South</v>
      </c>
      <c r="M151" s="3">
        <f t="shared" si="28"/>
        <v>259</v>
      </c>
      <c r="N151" s="3">
        <f t="shared" si="27"/>
        <v>86.333333333333329</v>
      </c>
      <c r="O151" s="3" t="str">
        <f>IF(N151&gt;80,"Top",IF(N151&gt;60,"Average","Low"))</f>
        <v>Top</v>
      </c>
      <c r="P151">
        <f>K151*100</f>
        <v>75</v>
      </c>
      <c r="Q151">
        <f t="shared" si="25"/>
        <v>70</v>
      </c>
    </row>
    <row r="152" spans="1:17">
      <c r="A152" s="3">
        <v>164</v>
      </c>
      <c r="B152" s="3" t="s">
        <v>123</v>
      </c>
      <c r="C152" s="6" t="s">
        <v>42</v>
      </c>
      <c r="D152" s="3" t="s">
        <v>4</v>
      </c>
      <c r="E152" s="3">
        <v>85</v>
      </c>
      <c r="F152" s="3">
        <v>69</v>
      </c>
      <c r="G152" s="3">
        <v>94</v>
      </c>
      <c r="H152" s="4">
        <v>0.8</v>
      </c>
      <c r="I152" s="3" t="s">
        <v>21</v>
      </c>
      <c r="J152" s="3" t="str">
        <f>UPPER(C6)</f>
        <v>BANGALORE</v>
      </c>
      <c r="K152" s="3">
        <v>0.8</v>
      </c>
      <c r="L152" s="3" t="str">
        <f>VLOOKUP(C152, Mapping!A:B, 2, FALSE)</f>
        <v>South</v>
      </c>
      <c r="M152" s="3">
        <f t="shared" si="28"/>
        <v>248</v>
      </c>
      <c r="N152" s="3">
        <f t="shared" si="27"/>
        <v>82.666666666666671</v>
      </c>
      <c r="O152" s="3" t="str">
        <f t="shared" si="26"/>
        <v>Top</v>
      </c>
      <c r="P152">
        <f t="shared" ref="P152:P153" si="29">K152*100</f>
        <v>80</v>
      </c>
      <c r="Q152">
        <f t="shared" si="25"/>
        <v>80</v>
      </c>
    </row>
    <row r="153" spans="1:17">
      <c r="A153" s="3">
        <v>267</v>
      </c>
      <c r="B153" s="3" t="s">
        <v>124</v>
      </c>
      <c r="C153" s="6" t="s">
        <v>47</v>
      </c>
      <c r="D153" s="3" t="s">
        <v>5</v>
      </c>
      <c r="E153" s="3">
        <v>69</v>
      </c>
      <c r="F153" s="3">
        <v>70</v>
      </c>
      <c r="G153" s="3">
        <v>84</v>
      </c>
      <c r="H153" s="4">
        <v>0.9</v>
      </c>
      <c r="I153" s="3" t="s">
        <v>21</v>
      </c>
      <c r="J153" s="3" t="str">
        <f>UPPER(C20)</f>
        <v>HYDERABAD</v>
      </c>
      <c r="K153" s="3">
        <v>0.9</v>
      </c>
      <c r="L153" s="3" t="str">
        <f>VLOOKUP(C153, Mapping!A:B, 2, FALSE)</f>
        <v>South</v>
      </c>
      <c r="M153" s="3">
        <f t="shared" si="28"/>
        <v>223</v>
      </c>
      <c r="N153" s="3">
        <f t="shared" si="27"/>
        <v>74.333333333333329</v>
      </c>
      <c r="O153" s="3" t="str">
        <f>IF(N153&gt;80,"Top",IF(N153&gt;60,"Average","Low"))</f>
        <v>Average</v>
      </c>
      <c r="P153">
        <f t="shared" si="29"/>
        <v>90</v>
      </c>
      <c r="Q153">
        <f t="shared" si="25"/>
        <v>90</v>
      </c>
    </row>
    <row r="1048576" spans="9:9">
      <c r="I1048576" s="3" t="s">
        <v>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114BE-8AE9-49EA-9D6B-10BA07412920}">
  <dimension ref="A1:B7"/>
  <sheetViews>
    <sheetView workbookViewId="0">
      <selection activeCell="C5" sqref="C5"/>
    </sheetView>
  </sheetViews>
  <sheetFormatPr defaultRowHeight="15"/>
  <cols>
    <col min="1" max="1" width="11.85546875" bestFit="1" customWidth="1"/>
  </cols>
  <sheetData>
    <row r="1" spans="1:2">
      <c r="A1" s="1" t="s">
        <v>7</v>
      </c>
      <c r="B1" s="1" t="s">
        <v>0</v>
      </c>
    </row>
    <row r="2" spans="1:2">
      <c r="A2" t="s">
        <v>42</v>
      </c>
      <c r="B2" t="s">
        <v>4</v>
      </c>
    </row>
    <row r="3" spans="1:2">
      <c r="A3" t="s">
        <v>11</v>
      </c>
      <c r="B3" t="s">
        <v>4</v>
      </c>
    </row>
    <row r="4" spans="1:2">
      <c r="A4" t="s">
        <v>125</v>
      </c>
      <c r="B4" t="s">
        <v>3</v>
      </c>
    </row>
    <row r="5" spans="1:2">
      <c r="A5" t="s">
        <v>126</v>
      </c>
      <c r="B5" t="s">
        <v>5</v>
      </c>
    </row>
    <row r="6" spans="1:2">
      <c r="A6" t="s">
        <v>104</v>
      </c>
      <c r="B6" t="s">
        <v>4</v>
      </c>
    </row>
    <row r="7" spans="1:2">
      <c r="A7" t="s">
        <v>12</v>
      </c>
      <c r="B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2026-04-21T05:57:59Z</dcterms:created>
  <dcterms:modified xsi:type="dcterms:W3CDTF">2026-04-21T17:46:36Z</dcterms:modified>
  <cp:category/>
  <cp:contentStatus/>
</cp:coreProperties>
</file>